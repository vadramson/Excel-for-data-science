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1B7E8FEF-D875-478F-9BCB-804C3B999C52}" xr6:coauthVersionLast="46" xr6:coauthVersionMax="46" xr10:uidLastSave="{00000000-0000-0000-0000-000000000000}"/>
  <bookViews>
    <workbookView xWindow="-120" yWindow="-120" windowWidth="20640" windowHeight="11760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81029"/>
</workbook>
</file>

<file path=xl/calcChain.xml><?xml version="1.0" encoding="utf-8"?>
<calcChain xmlns="http://schemas.openxmlformats.org/spreadsheetml/2006/main">
  <c r="H18" i="21" l="1"/>
  <c r="H94" i="10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G8" i="21" l="1"/>
  <c r="G5" i="21"/>
  <c r="D23" i="21"/>
  <c r="H8" i="21"/>
  <c r="E18" i="21"/>
  <c r="E13" i="21"/>
  <c r="H4" i="21"/>
  <c r="G4" i="21"/>
  <c r="H5" i="21"/>
  <c r="H14" i="21"/>
  <c r="G14" i="21"/>
  <c r="D21" i="21"/>
  <c r="E30" i="21"/>
  <c r="C16" i="21"/>
  <c r="C11" i="21"/>
  <c r="C21" i="21"/>
  <c r="E20" i="21"/>
  <c r="H20" i="21" s="1"/>
  <c r="E23" i="21"/>
  <c r="C18" i="21"/>
  <c r="C13" i="21"/>
  <c r="E15" i="21"/>
  <c r="D15" i="21"/>
  <c r="E21" i="21"/>
  <c r="D20" i="21"/>
  <c r="G20" i="21" s="1"/>
  <c r="C12" i="21"/>
  <c r="G12" i="21" s="1"/>
  <c r="C20" i="21"/>
  <c r="C23" i="21"/>
  <c r="D18" i="21"/>
  <c r="D13" i="21"/>
  <c r="E10" i="21"/>
  <c r="D10" i="21"/>
  <c r="E6" i="21"/>
  <c r="C10" i="21"/>
  <c r="D6" i="21"/>
  <c r="C6" i="21"/>
  <c r="C7" i="21" s="1"/>
  <c r="C9" i="21" s="1"/>
  <c r="C27" i="21" s="1"/>
  <c r="E16" i="21"/>
  <c r="E11" i="21"/>
  <c r="C15" i="21"/>
  <c r="D16" i="21"/>
  <c r="G16" i="21" s="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10" i="21"/>
  <c r="H23" i="21"/>
  <c r="G13" i="21"/>
  <c r="G18" i="21"/>
  <c r="E7" i="21"/>
  <c r="H6" i="21"/>
  <c r="G10" i="21"/>
  <c r="G15" i="21"/>
  <c r="H13" i="21"/>
  <c r="H11" i="21"/>
  <c r="H15" i="21"/>
  <c r="H16" i="21"/>
  <c r="G21" i="21"/>
  <c r="G23" i="21"/>
  <c r="D7" i="21"/>
  <c r="G6" i="21"/>
  <c r="C17" i="21"/>
  <c r="D9" i="21" l="1"/>
  <c r="G7" i="21"/>
  <c r="C19" i="21"/>
  <c r="C28" i="21"/>
  <c r="E9" i="21"/>
  <c r="H7" i="21"/>
  <c r="H9" i="21" l="1"/>
  <c r="E27" i="21"/>
  <c r="E17" i="21"/>
  <c r="C22" i="21"/>
  <c r="C24" i="21" s="1"/>
  <c r="C31" i="21" s="1"/>
  <c r="C29" i="21"/>
  <c r="G9" i="21"/>
  <c r="D27" i="21"/>
  <c r="D17" i="21"/>
  <c r="D19" i="21" l="1"/>
  <c r="G17" i="21"/>
  <c r="D28" i="21"/>
  <c r="E19" i="21"/>
  <c r="E28" i="21"/>
  <c r="H17" i="21"/>
  <c r="E22" i="21" l="1"/>
  <c r="E29" i="21"/>
  <c r="H19" i="21"/>
  <c r="D22" i="21"/>
  <c r="D29" i="21"/>
  <c r="G19" i="21"/>
  <c r="D24" i="21" l="1"/>
  <c r="G22" i="21"/>
  <c r="E24" i="21"/>
  <c r="H22" i="21"/>
  <c r="E31" i="21" l="1"/>
  <c r="H24" i="21"/>
  <c r="D31" i="21"/>
  <c r="G24" i="21"/>
</calcChain>
</file>

<file path=xl/sharedStrings.xml><?xml version="1.0" encoding="utf-8"?>
<sst xmlns="http://schemas.openxmlformats.org/spreadsheetml/2006/main" count="955" uniqueCount="252">
  <si>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</si>
  <si>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</si>
  <si>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</si>
  <si>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</si>
  <si>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</si>
  <si>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</si>
  <si>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</si>
  <si>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</si>
  <si>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</si>
  <si>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</si>
  <si>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</si>
  <si>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</si>
  <si>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</si>
  <si>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</si>
  <si>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</si>
  <si>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</si>
  <si>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</si>
  <si>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</si>
  <si>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</si>
  <si>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</si>
  <si>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</si>
  <si>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</si>
  <si>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</si>
  <si>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</si>
  <si>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</si>
  <si>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</si>
  <si>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</si>
  <si>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</si>
  <si>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</si>
  <si>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</si>
  <si>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</si>
  <si>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</si>
  <si>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</si>
  <si>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</si>
  <si>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</si>
  <si>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</si>
  <si>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</si>
  <si>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</si>
  <si>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</si>
  <si>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</si>
  <si>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</si>
  <si>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</si>
  <si>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</si>
  <si>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</si>
  <si>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</si>
  <si>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</si>
  <si>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</si>
  <si>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</si>
  <si>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</si>
  <si>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</si>
  <si>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</si>
  <si>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</si>
  <si>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</si>
  <si>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</si>
  <si>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</si>
  <si>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</si>
  <si>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</si>
  <si>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</si>
  <si>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</si>
  <si>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</si>
  <si>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</si>
  <si>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</si>
  <si>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</si>
  <si>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</si>
  <si>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</si>
  <si>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</si>
  <si>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</si>
  <si>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</si>
  <si>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</si>
  <si>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</si>
  <si>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</si>
  <si>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</si>
  <si>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</si>
  <si>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</si>
  <si>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</si>
  <si>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</si>
  <si>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</si>
  <si>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</si>
  <si>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</si>
  <si>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</si>
  <si>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</si>
  <si>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</si>
  <si>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</si>
  <si>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</si>
  <si>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</si>
  <si>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</si>
  <si>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</si>
  <si>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</si>
  <si>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</si>
  <si>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</si>
  <si>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</si>
  <si>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</si>
  <si>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</si>
  <si>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</si>
  <si>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</si>
  <si>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</si>
  <si>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</si>
  <si>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</si>
  <si>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</si>
  <si>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</si>
  <si>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</si>
  <si>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</si>
  <si>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</si>
  <si>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</si>
  <si>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</si>
  <si>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</si>
  <si>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</si>
  <si>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</si>
  <si>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</si>
  <si>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</si>
  <si>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</si>
  <si>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</si>
  <si>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</si>
  <si>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</si>
  <si>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</si>
  <si>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</si>
  <si>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</si>
  <si>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</si>
  <si>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</si>
  <si>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</si>
  <si>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</si>
  <si>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</si>
  <si>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</si>
  <si>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</si>
  <si>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</si>
  <si>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</si>
  <si>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</si>
  <si>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</si>
  <si>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</si>
  <si>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</si>
  <si>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</si>
  <si>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</si>
  <si>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</si>
  <si>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</si>
  <si>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</si>
  <si>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</si>
  <si>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</si>
  <si>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</si>
  <si>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</si>
  <si>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</si>
  <si>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</si>
  <si>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</si>
  <si>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</si>
  <si>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</si>
  <si>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</si>
  <si>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</si>
  <si>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</si>
  <si>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</si>
  <si>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</si>
  <si>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</si>
  <si>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</si>
  <si>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</si>
  <si>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</si>
  <si>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</si>
  <si>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</si>
  <si>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</si>
  <si>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</si>
  <si>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</si>
  <si>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</si>
  <si>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</si>
  <si>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</si>
  <si>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</si>
  <si>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</si>
  <si>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</si>
  <si>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</si>
  <si>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</si>
  <si>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</si>
  <si>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</si>
  <si>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</si>
  <si>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</si>
  <si>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</si>
  <si>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</si>
  <si>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</si>
  <si>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</si>
  <si>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</si>
  <si>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</si>
  <si>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</si>
  <si>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</si>
  <si>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</si>
  <si>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</si>
  <si>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</si>
  <si>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</si>
  <si>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</si>
  <si>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</si>
  <si>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</si>
  <si>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</si>
  <si>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</si>
  <si>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</si>
  <si>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</si>
  <si>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</si>
  <si>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</si>
  <si>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</si>
  <si>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</si>
  <si>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</si>
  <si>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</si>
  <si>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</si>
  <si>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</si>
  <si>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</si>
  <si>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</si>
  <si>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</si>
  <si>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</si>
  <si>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</si>
  <si>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</si>
  <si>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</si>
  <si>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</si>
  <si>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</si>
  <si>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</si>
  <si>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</si>
  <si>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</si>
  <si>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</si>
  <si>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</si>
  <si>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</si>
  <si>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</si>
  <si>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</si>
  <si>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</si>
  <si>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</si>
  <si>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</si>
  <si>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</si>
  <si>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</si>
  <si>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</si>
  <si>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</si>
  <si>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</si>
  <si>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</si>
  <si>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</si>
  <si>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</si>
  <si>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</si>
  <si>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</si>
  <si>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</si>
  <si>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</si>
  <si>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</si>
  <si>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</si>
  <si>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</si>
  <si>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</si>
  <si>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</si>
  <si>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</si>
  <si>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</si>
  <si>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</si>
  <si>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</si>
  <si>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</si>
  <si>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</si>
  <si>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</si>
  <si>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</si>
  <si>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</si>
  <si>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</si>
  <si>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</si>
  <si>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</si>
  <si>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Var%
FY16-FY17</t>
  </si>
  <si>
    <t>Var%
FY17-FY18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</si>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</sst>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18" fillId="2" borderId="0" xfId="0" applyFont="1" applyFill="1" applyBorder="1"/>
    <xf numFmtId="0" fontId="24" fillId="5" borderId="0" xfId="0" applyFont="1" applyFill="1" applyBorder="1"/>
    <xf numFmtId="9" fontId="24" fillId="5" borderId="0" xfId="4" applyFont="1" applyFill="1" applyBorder="1"/>
    <xf numFmtId="0" fontId="24" fillId="5" borderId="0" xfId="0" applyFont="1" applyFill="1"/>
    <xf numFmtId="166" fontId="18" fillId="2" borderId="0" xfId="0" applyNumberFormat="1" applyFont="1" applyFill="1" applyBorder="1"/>
    <xf numFmtId="166" fontId="24" fillId="5" borderId="0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7" t="s">
        <v>57</v>
      </c>
    </row>
    <row r="4" spans="2:4" ht="12.75" thickBot="1" x14ac:dyDescent="0.25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x14ac:dyDescent="0.2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x14ac:dyDescent="0.2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x14ac:dyDescent="0.2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F12" sqref="F12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topLeftCell="A40" workbookViewId="0">
      <selection activeCell="C22" sqref="C22"/>
    </sheetView>
  </sheetViews>
  <sheetFormatPr defaultColWidth="9.140625" defaultRowHeight="12" x14ac:dyDescent="0.2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8" max="16384" width="9.140625" style="2"/>
  </cols>
  <sheetData>
    <row r="1" spans="2:7" ht="15.75" x14ac:dyDescent="0.25">
      <c r="C1" s="3" t="s">
        <v>112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topLeftCell="A4" workbookViewId="0">
      <selection activeCell="D21" sqref="D21"/>
    </sheetView>
  </sheetViews>
  <sheetFormatPr defaultColWidth="9.140625" defaultRowHeight="12" x14ac:dyDescent="0.2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8" max="16384" width="9.140625" style="2"/>
  </cols>
  <sheetData>
    <row r="1" spans="2:7" ht="15.75" x14ac:dyDescent="0.25">
      <c r="B1" s="3" t="s">
        <v>113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5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25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25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25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25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25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25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25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25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25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25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25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25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25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25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25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25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25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25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25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25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25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25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25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25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25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25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25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25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25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25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25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25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25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25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25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25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25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25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25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25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25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25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25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25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25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25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25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25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25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25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25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25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25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25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25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25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25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25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25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25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25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25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25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25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25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25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25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25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25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25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25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25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25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25">
      <c r="D79" s="6"/>
    </row>
    <row r="80" spans="2:7" x14ac:dyDescent="0.25">
      <c r="D80" s="6"/>
    </row>
    <row r="81" spans="4:4" x14ac:dyDescent="0.25">
      <c r="D81" s="6"/>
    </row>
    <row r="82" spans="4:4" x14ac:dyDescent="0.25">
      <c r="D82" s="6"/>
    </row>
    <row r="83" spans="4:4" x14ac:dyDescent="0.25">
      <c r="D83" s="6"/>
    </row>
    <row r="84" spans="4:4" x14ac:dyDescent="0.25">
      <c r="D84" s="6"/>
    </row>
    <row r="85" spans="4:4" x14ac:dyDescent="0.25">
      <c r="D85" s="6"/>
    </row>
    <row r="86" spans="4:4" x14ac:dyDescent="0.25">
      <c r="D86" s="6"/>
    </row>
    <row r="87" spans="4:4" x14ac:dyDescent="0.25">
      <c r="D87" s="6"/>
    </row>
    <row r="88" spans="4:4" x14ac:dyDescent="0.25">
      <c r="D88" s="6"/>
    </row>
    <row r="89" spans="4:4" x14ac:dyDescent="0.25">
      <c r="D89" s="6"/>
    </row>
    <row r="90" spans="4:4" x14ac:dyDescent="0.25">
      <c r="D90" s="6"/>
    </row>
    <row r="91" spans="4:4" x14ac:dyDescent="0.25">
      <c r="D91" s="6"/>
    </row>
    <row r="92" spans="4:4" x14ac:dyDescent="0.25">
      <c r="D92" s="6"/>
    </row>
    <row r="93" spans="4:4" x14ac:dyDescent="0.25">
      <c r="D93" s="6"/>
    </row>
    <row r="94" spans="4:4" x14ac:dyDescent="0.25">
      <c r="D94" s="6"/>
    </row>
    <row r="95" spans="4:4" x14ac:dyDescent="0.25">
      <c r="D95" s="6"/>
    </row>
    <row r="96" spans="4:4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tabSelected="1" workbookViewId="0">
      <selection activeCell="J1" sqref="J1:J1048576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customWidth="1"/>
    <col min="6" max="8" width="9.85546875" style="2" bestFit="1" customWidth="1"/>
    <col min="9" max="9" width="2" style="2" customWidth="1"/>
    <col min="10" max="16384" width="9.140625" style="2"/>
  </cols>
  <sheetData>
    <row r="1" spans="2:10" ht="15.75" x14ac:dyDescent="0.25">
      <c r="B1" s="3" t="s">
        <v>56</v>
      </c>
    </row>
    <row r="3" spans="2:10" ht="12.75" thickBot="1" x14ac:dyDescent="0.25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35"/>
  <sheetViews>
    <sheetView topLeftCell="A13" zoomScale="120" zoomScaleNormal="120" workbookViewId="0">
      <selection activeCell="C23" sqref="C23"/>
    </sheetView>
  </sheetViews>
  <sheetFormatPr defaultColWidth="8.85546875" defaultRowHeight="12" outlineLevelRow="1" x14ac:dyDescent="0.2"/>
  <cols>
    <col min="1" max="1" width="2" style="33" customWidth="1"/>
    <col min="2" max="2" width="20" style="33" bestFit="1" customWidth="1"/>
    <col min="3" max="5" width="8.85546875" style="33"/>
    <col min="6" max="6" width="2" style="33" customWidth="1"/>
    <col min="7" max="16384" width="8.85546875" style="33"/>
  </cols>
  <sheetData>
    <row r="1" spans="2:8" ht="15.75" x14ac:dyDescent="0.25">
      <c r="B1" s="34" t="s">
        <v>237</v>
      </c>
    </row>
    <row r="3" spans="2:8" ht="36.75" thickBot="1" x14ac:dyDescent="0.25">
      <c r="B3" s="30" t="s">
        <v>243</v>
      </c>
      <c r="C3" s="31" t="s">
        <v>221</v>
      </c>
      <c r="D3" s="31" t="s">
        <v>222</v>
      </c>
      <c r="E3" s="31" t="s">
        <v>223</v>
      </c>
      <c r="G3" s="43" t="s">
        <v>246</v>
      </c>
      <c r="H3" s="43" t="s">
        <v>247</v>
      </c>
    </row>
    <row r="4" spans="2:8" x14ac:dyDescent="0.2">
      <c r="B4" s="33" t="s">
        <v>225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</row>
    <row r="5" spans="2:8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4">
        <f t="shared" ref="G5:G24" si="0">+IF(ISERROR((D5/C5)-1),"n.a.",IF(((D5/C5)-1)&gt;1,"&gt;100.0%",IF(((D5/C5)-1)&lt;-1,"&lt;-100.0%",((D5/C5)-1))))</f>
        <v>0.45160091696030569</v>
      </c>
      <c r="H5" s="44">
        <f t="shared" ref="H5:H24" si="1">+IF(ISERROR((E5/D5)-1),"n.a.",IF(((E5/D5)-1)&gt;1,"&gt;100.0%",IF(((E5/D5)-1)&lt;-1,"&lt;-100.0%",((E5/D5)-1))))</f>
        <v>-8.4278992542911935E-2</v>
      </c>
    </row>
    <row r="6" spans="2:8" x14ac:dyDescent="0.2">
      <c r="B6" s="33" t="s">
        <v>228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4">
        <f t="shared" si="0"/>
        <v>-9.1912195832158816E-2</v>
      </c>
      <c r="H6" s="44">
        <f t="shared" si="1"/>
        <v>0.67340074743441836</v>
      </c>
    </row>
    <row r="7" spans="2:8" x14ac:dyDescent="0.2">
      <c r="B7" s="35" t="s">
        <v>238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5">
        <f t="shared" si="0"/>
        <v>0.15622093183140207</v>
      </c>
      <c r="H7" s="45">
        <f t="shared" si="1"/>
        <v>1.0832310402506318E-2</v>
      </c>
    </row>
    <row r="8" spans="2:8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2:8" x14ac:dyDescent="0.2">
      <c r="B9" s="35" t="s">
        <v>239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2:8" x14ac:dyDescent="0.2">
      <c r="B10" s="33" t="s">
        <v>226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2:8" x14ac:dyDescent="0.2">
      <c r="B11" s="33" t="s">
        <v>227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2:8" x14ac:dyDescent="0.2">
      <c r="B12" s="33" t="s">
        <v>229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2:8" x14ac:dyDescent="0.2">
      <c r="B13" s="33" t="s">
        <v>230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2:8" x14ac:dyDescent="0.2">
      <c r="B14" s="33" t="s">
        <v>231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2:8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2:8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2:8" x14ac:dyDescent="0.2">
      <c r="B17" s="36" t="s">
        <v>240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4">
        <f t="shared" si="0"/>
        <v>-6.0515972378227811E-4</v>
      </c>
      <c r="H18" s="44">
        <f>+IF(ISERROR((E18/D18)-1),"n.a.",IF(((E18/D18)-1)&gt;1,"&gt;100.0%",IF(((E18/D18)-1)&lt;-1,"&lt;-100.0%",((E18/D18)-1))))</f>
        <v>-7.6146701666795491E-2</v>
      </c>
    </row>
    <row r="19" spans="2:8" x14ac:dyDescent="0.2">
      <c r="B19" s="35" t="s">
        <v>241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2:8" x14ac:dyDescent="0.2">
      <c r="B20" s="33" t="s">
        <v>232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2:8" x14ac:dyDescent="0.2">
      <c r="B21" s="33" t="s">
        <v>233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2:8" x14ac:dyDescent="0.2">
      <c r="B22" s="35" t="s">
        <v>242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2:8" x14ac:dyDescent="0.2">
      <c r="B23" s="33" t="s">
        <v>234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2:8" ht="12.75" thickBot="1" x14ac:dyDescent="0.25">
      <c r="B24" s="37" t="s">
        <v>235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5" spans="2:8" x14ac:dyDescent="0.2">
      <c r="B25" s="48"/>
      <c r="C25" s="52"/>
      <c r="D25" s="52"/>
      <c r="E25" s="52"/>
    </row>
    <row r="26" spans="2:8" x14ac:dyDescent="0.2">
      <c r="B26" s="49" t="s">
        <v>251</v>
      </c>
      <c r="C26" s="53"/>
      <c r="D26" s="53"/>
      <c r="E26" s="53"/>
    </row>
    <row r="27" spans="2:8" x14ac:dyDescent="0.2">
      <c r="B27" s="49" t="s">
        <v>248</v>
      </c>
      <c r="C27" s="50">
        <f>C9/C$7</f>
        <v>0.80329281353949789</v>
      </c>
      <c r="D27" s="50">
        <f t="shared" ref="D27:E27" si="2">D9/D$7</f>
        <v>0.79014052477841912</v>
      </c>
      <c r="E27" s="50">
        <f t="shared" si="2"/>
        <v>0.78437246085651935</v>
      </c>
    </row>
    <row r="28" spans="2:8" x14ac:dyDescent="0.2">
      <c r="B28" s="49" t="s">
        <v>249</v>
      </c>
      <c r="C28" s="50">
        <f>C17/C$7</f>
        <v>0.36878477758296191</v>
      </c>
      <c r="D28" s="50">
        <f t="shared" ref="D28:E28" si="3">D17/D$7</f>
        <v>0.16301696811306118</v>
      </c>
      <c r="E28" s="50">
        <f t="shared" si="3"/>
        <v>0.20104802619916018</v>
      </c>
    </row>
    <row r="29" spans="2:8" x14ac:dyDescent="0.2">
      <c r="B29" s="51" t="s">
        <v>250</v>
      </c>
      <c r="C29" s="50">
        <f>C19/C$7</f>
        <v>0.2779466397506159</v>
      </c>
      <c r="D29" s="50">
        <f t="shared" ref="D29:E29" si="4">D19/D$7</f>
        <v>8.4499823378317393E-2</v>
      </c>
      <c r="E29" s="50">
        <f t="shared" si="4"/>
        <v>0.12928704033394345</v>
      </c>
    </row>
    <row r="30" spans="2:8" hidden="1" outlineLevel="1" x14ac:dyDescent="0.2">
      <c r="B30" s="38" t="s">
        <v>244</v>
      </c>
      <c r="C30" s="38">
        <f>SUMIF('2.1 Database'!$J:$J,'2.2 P&amp;L statement'!$B30,'2.1 Database'!F:F)/1000000</f>
        <v>-2.9041179939999986</v>
      </c>
      <c r="D30" s="38">
        <f>SUMIF('2.1 Database'!$J:$J,'2.2 P&amp;L statement'!$B30,'2.1 Database'!G:G)/1000000</f>
        <v>6.0738081600000005</v>
      </c>
      <c r="E30" s="38">
        <f>SUMIF('2.1 Database'!$J:$J,'2.2 P&amp;L statement'!$B30,'2.1 Database'!H:H)/1000000</f>
        <v>-0.77929047600000001</v>
      </c>
    </row>
    <row r="31" spans="2:8" hidden="1" outlineLevel="1" x14ac:dyDescent="0.2">
      <c r="B31" s="42" t="s">
        <v>245</v>
      </c>
      <c r="C31" s="42">
        <f>ROUND(C24+C30,9)</f>
        <v>0</v>
      </c>
      <c r="D31" s="42">
        <f>D24+D30</f>
        <v>0</v>
      </c>
      <c r="E31" s="42">
        <f>E24+E30</f>
        <v>0</v>
      </c>
    </row>
    <row r="32" spans="2:8" collapsed="1" x14ac:dyDescent="0.2">
      <c r="B32" s="38"/>
      <c r="C32" s="38"/>
      <c r="D32" s="38"/>
      <c r="E32" s="38"/>
    </row>
    <row r="33" spans="2:5" x14ac:dyDescent="0.2">
      <c r="B33" s="38"/>
      <c r="C33" s="38"/>
      <c r="D33" s="38"/>
      <c r="E33" s="38"/>
    </row>
    <row r="34" spans="2:5" x14ac:dyDescent="0.2">
      <c r="B34" s="38"/>
      <c r="C34" s="38"/>
      <c r="D34" s="38"/>
      <c r="E34" s="38"/>
    </row>
    <row r="35" spans="2:5" x14ac:dyDescent="0.2">
      <c r="C35" s="38"/>
      <c r="D35" s="38"/>
      <c r="E35" s="3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2021-01-29T17:45:49Z</dcterms:modified>
</cp:coreProperties>
</file>
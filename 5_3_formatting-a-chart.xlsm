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codeName="ThisWorkbook" defaultThemeVersion="124226"/>
  <xr:revisionPtr revIDLastSave="0" documentId="13_ncr:1_{E67101B7-2A64-4751-B6FF-FC6CE3F59203}" xr6:coauthVersionLast="46" xr6:coauthVersionMax="46" xr10:uidLastSave="{00000000-0000-0000-0000-000000000000}"/>
  <bookViews>
    <workbookView xWindow="-120" yWindow="-120" windowWidth="20640" windowHeight="11760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81029"/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20" i="21" l="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G20" i="21" s="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C17" i="21"/>
  <c r="F61" i="1"/>
  <c r="F60" i="10" s="1"/>
  <c r="C32" i="21" s="1"/>
  <c r="D9" i="21" l="1"/>
  <c r="G7" i="21"/>
  <c r="H7" i="21"/>
  <c r="C19" i="21"/>
  <c r="C27" i="21"/>
  <c r="E26" i="21"/>
  <c r="E17" i="21"/>
  <c r="C17" i="7"/>
  <c r="C16" i="7"/>
  <c r="C15" i="7"/>
  <c r="C14" i="7"/>
  <c r="C12" i="7"/>
  <c r="C11" i="7"/>
  <c r="C9" i="7"/>
  <c r="C8" i="7"/>
  <c r="C7" i="7"/>
  <c r="E19" i="21" l="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<sst xmlns="http://schemas.openxmlformats.org/spreadsheetml/2006/main" count="946" uniqueCount="243">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</sst>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0" xfId="0" applyNumberFormat="1" applyFont="1" applyFill="1" applyAlignment="1"/>
    <xf numFmtId="165" fontId="3" fillId="2" borderId="2" xfId="0" applyNumberFormat="1" applyFont="1" applyFill="1" applyBorder="1" applyAlignment="1"/>
    <xf numFmtId="165" fontId="15" fillId="2" borderId="3" xfId="0" applyNumberFormat="1" applyFont="1" applyFill="1" applyBorder="1" applyAlignment="1"/>
    <xf numFmtId="165" fontId="9" fillId="3" borderId="3" xfId="0" applyNumberFormat="1" applyFont="1" applyFill="1" applyBorder="1" applyAlignment="1"/>
    <xf numFmtId="165" fontId="15" fillId="2" borderId="4" xfId="0" applyNumberFormat="1" applyFont="1" applyFill="1" applyBorder="1" applyAlignment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4-48B5-AAC6-36646C9BB86F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 Other revenues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statement'!$C$5:$E$5</c:f>
              <c:numCache>
                <c:formatCode>_(* #,##0.0_);_(* \(#,##0.0\);_(*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C1-496C-A794-976A35800F6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2"/>
        <c:axId val="408192160"/>
        <c:axId val="408193800"/>
      </c:barChart>
      <c:catAx>
        <c:axId val="408192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Financial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08193800"/>
        <c:crosses val="autoZero"/>
        <c:auto val="1"/>
        <c:lblAlgn val="ctr"/>
        <c:lblOffset val="100"/>
        <c:noMultiLvlLbl val="0"/>
      </c:catAx>
      <c:valAx>
        <c:axId val="40819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76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Net sales in millions of Euros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0819216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2</xdr:row>
      <xdr:rowOff>0</xdr:rowOff>
    </xdr:from>
    <xdr:to>
      <xdr:col>18</xdr:col>
      <xdr:colOff>219075</xdr:colOff>
      <xdr:row>15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96</v>
      </c>
    </row>
    <row r="2" spans="2:4" x14ac:dyDescent="0.2">
      <c r="B2" s="5" t="s">
        <v>58</v>
      </c>
    </row>
    <row r="4" spans="2:4" ht="12.75" thickBot="1" x14ac:dyDescent="0.25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2" t="s">
        <v>62</v>
      </c>
    </row>
    <row r="6" spans="2:4" x14ac:dyDescent="0.2">
      <c r="B6" s="9">
        <v>2</v>
      </c>
      <c r="C6" s="10" t="s">
        <v>63</v>
      </c>
      <c r="D6" s="10"/>
    </row>
    <row r="7" spans="2:4" x14ac:dyDescent="0.2">
      <c r="B7" s="6">
        <v>3</v>
      </c>
      <c r="C7" s="13" t="str">
        <f>+"1.1 "&amp;'1.1 FY2011'!C1</f>
        <v>1.1 FY2011</v>
      </c>
    </row>
    <row r="8" spans="2:4" x14ac:dyDescent="0.2">
      <c r="B8" s="6">
        <v>4</v>
      </c>
      <c r="C8" s="13" t="str">
        <f>"1.2 "&amp;'1.2 FY2012'!B1</f>
        <v>1.2 FY2012</v>
      </c>
    </row>
    <row r="9" spans="2:4" x14ac:dyDescent="0.2">
      <c r="B9" s="6">
        <v>5</v>
      </c>
      <c r="C9" s="13" t="str">
        <f>"1.3 "&amp;'1.3 FY2013'!B1</f>
        <v>1.3 FY2013</v>
      </c>
    </row>
    <row r="10" spans="2:4" x14ac:dyDescent="0.2">
      <c r="B10" s="9">
        <v>6</v>
      </c>
      <c r="C10" s="10" t="s">
        <v>92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93</v>
      </c>
      <c r="D13" s="8"/>
    </row>
    <row r="14" spans="2:4" x14ac:dyDescent="0.2">
      <c r="B14" s="6">
        <v>20</v>
      </c>
      <c r="C14" s="13" t="e">
        <f>+"3.1 "&amp;#REF!</f>
        <v>#REF!</v>
      </c>
    </row>
    <row r="15" spans="2:4" x14ac:dyDescent="0.2">
      <c r="B15" s="6">
        <v>21</v>
      </c>
      <c r="C15" s="13" t="e">
        <f>+"3.2 "&amp;#REF!</f>
        <v>#REF!</v>
      </c>
    </row>
    <row r="16" spans="2:4" x14ac:dyDescent="0.2">
      <c r="B16" s="6">
        <v>22</v>
      </c>
      <c r="C16" s="13" t="e">
        <f>"3.3 "&amp;#REF!</f>
        <v>#REF!</v>
      </c>
    </row>
    <row r="17" spans="2:3" x14ac:dyDescent="0.2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29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">
      <c r="B5" s="2" t="s">
        <v>102</v>
      </c>
      <c r="C5" s="4" t="s">
        <v>65</v>
      </c>
      <c r="D5" s="4">
        <v>111111</v>
      </c>
      <c r="E5" s="4" t="s">
        <v>211</v>
      </c>
      <c r="F5" s="22">
        <v>-14500341</v>
      </c>
      <c r="G5" s="14">
        <v>2001110000</v>
      </c>
    </row>
    <row r="6" spans="2:9" ht="12" customHeight="1" x14ac:dyDescent="0.2">
      <c r="B6" s="2" t="s">
        <v>103</v>
      </c>
      <c r="C6" s="4" t="s">
        <v>66</v>
      </c>
      <c r="D6" s="4">
        <v>111111</v>
      </c>
      <c r="E6" s="4" t="s">
        <v>211</v>
      </c>
      <c r="F6" s="22">
        <v>-4794856.1919999998</v>
      </c>
      <c r="G6" s="14">
        <v>2001190000</v>
      </c>
    </row>
    <row r="7" spans="2:9" ht="12" customHeight="1" x14ac:dyDescent="0.2">
      <c r="B7" s="2" t="s">
        <v>104</v>
      </c>
      <c r="C7" s="4" t="s">
        <v>67</v>
      </c>
      <c r="D7" s="4">
        <v>1009</v>
      </c>
      <c r="E7" s="4" t="s">
        <v>35</v>
      </c>
      <c r="F7" s="22">
        <v>-154890.4</v>
      </c>
      <c r="G7" s="14">
        <v>2020000000</v>
      </c>
    </row>
    <row r="8" spans="2:9" ht="12" customHeight="1" x14ac:dyDescent="0.2">
      <c r="B8" s="2" t="s">
        <v>105</v>
      </c>
      <c r="C8" s="4" t="s">
        <v>67</v>
      </c>
      <c r="D8" s="4">
        <v>1007</v>
      </c>
      <c r="E8" s="4" t="s">
        <v>37</v>
      </c>
      <c r="F8" s="22">
        <v>-1180894.0520000001</v>
      </c>
      <c r="G8" s="14">
        <v>2020000000</v>
      </c>
    </row>
    <row r="9" spans="2:9" ht="12" customHeight="1" x14ac:dyDescent="0.2">
      <c r="B9" s="2" t="s">
        <v>106</v>
      </c>
      <c r="C9" s="4" t="s">
        <v>67</v>
      </c>
      <c r="D9" s="4">
        <v>1008</v>
      </c>
      <c r="E9" s="4" t="s">
        <v>39</v>
      </c>
      <c r="F9" s="22">
        <v>-793079.51199999999</v>
      </c>
      <c r="G9" s="14">
        <v>2020000000</v>
      </c>
    </row>
    <row r="10" spans="2:9" ht="12" customHeight="1" x14ac:dyDescent="0.2">
      <c r="B10" s="2" t="s">
        <v>107</v>
      </c>
      <c r="C10" s="4" t="s">
        <v>67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108</v>
      </c>
      <c r="C11" s="4" t="s">
        <v>228</v>
      </c>
      <c r="D11" s="4">
        <v>111111</v>
      </c>
      <c r="E11" s="4" t="s">
        <v>211</v>
      </c>
      <c r="F11" s="22">
        <v>4428911.7640000004</v>
      </c>
      <c r="G11" s="14">
        <v>2021900000</v>
      </c>
    </row>
    <row r="12" spans="2:9" ht="12" customHeight="1" x14ac:dyDescent="0.2">
      <c r="B12" s="2" t="s">
        <v>109</v>
      </c>
      <c r="C12" s="4" t="s">
        <v>69</v>
      </c>
      <c r="D12" s="4">
        <v>111111</v>
      </c>
      <c r="E12" s="4" t="s">
        <v>211</v>
      </c>
      <c r="F12" s="22">
        <v>16977.628000000001</v>
      </c>
      <c r="G12" s="14">
        <v>2024080000</v>
      </c>
    </row>
    <row r="13" spans="2:9" ht="12" customHeight="1" x14ac:dyDescent="0.2">
      <c r="B13" s="2" t="s">
        <v>110</v>
      </c>
      <c r="C13" s="4" t="s">
        <v>68</v>
      </c>
      <c r="D13" s="4">
        <v>88</v>
      </c>
      <c r="E13" s="4" t="s">
        <v>32</v>
      </c>
      <c r="F13" s="22">
        <v>2245437.54</v>
      </c>
      <c r="G13" s="14">
        <v>2024090000</v>
      </c>
    </row>
    <row r="14" spans="2:9" ht="12" customHeight="1" x14ac:dyDescent="0.2">
      <c r="B14" s="2" t="s">
        <v>111</v>
      </c>
      <c r="C14" s="4" t="s">
        <v>68</v>
      </c>
      <c r="D14" s="4">
        <v>111111</v>
      </c>
      <c r="E14" s="4" t="s">
        <v>211</v>
      </c>
      <c r="F14" s="22">
        <v>16605.634000000002</v>
      </c>
      <c r="G14" s="14">
        <v>2024090000</v>
      </c>
    </row>
    <row r="15" spans="2:9" ht="12" customHeight="1" x14ac:dyDescent="0.2">
      <c r="B15" s="2" t="s">
        <v>112</v>
      </c>
      <c r="C15" s="4" t="s">
        <v>1</v>
      </c>
      <c r="D15" s="4">
        <v>111111</v>
      </c>
      <c r="E15" s="4" t="s">
        <v>211</v>
      </c>
      <c r="F15" s="22">
        <v>4683394.0460000001</v>
      </c>
      <c r="G15" s="14">
        <v>2041000000</v>
      </c>
    </row>
    <row r="16" spans="2:9" ht="12" customHeight="1" x14ac:dyDescent="0.2">
      <c r="B16" s="2" t="s">
        <v>113</v>
      </c>
      <c r="C16" s="4" t="s">
        <v>70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216</v>
      </c>
      <c r="C17" s="4" t="s">
        <v>70</v>
      </c>
      <c r="D17" s="4">
        <v>88</v>
      </c>
      <c r="E17" s="4" t="s">
        <v>32</v>
      </c>
      <c r="F17" s="22">
        <v>239379.61800000002</v>
      </c>
      <c r="G17" s="14">
        <v>2042000000</v>
      </c>
    </row>
    <row r="18" spans="2:7" ht="12" customHeight="1" x14ac:dyDescent="0.2">
      <c r="B18" s="2" t="s">
        <v>114</v>
      </c>
      <c r="C18" s="4" t="s">
        <v>71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115</v>
      </c>
      <c r="C19" s="4" t="s">
        <v>72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116</v>
      </c>
      <c r="C20" s="4" t="s">
        <v>72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117</v>
      </c>
      <c r="C21" s="4" t="s">
        <v>73</v>
      </c>
      <c r="D21" s="4" t="s">
        <v>3</v>
      </c>
      <c r="E21" s="4" t="s">
        <v>40</v>
      </c>
      <c r="F21" s="22">
        <v>-2156147.4</v>
      </c>
      <c r="G21" s="14">
        <v>2069010000</v>
      </c>
    </row>
    <row r="22" spans="2:7" ht="12" customHeight="1" x14ac:dyDescent="0.2">
      <c r="B22" s="2" t="s">
        <v>118</v>
      </c>
      <c r="C22" s="4" t="s">
        <v>73</v>
      </c>
      <c r="D22" s="4">
        <v>14</v>
      </c>
      <c r="E22" s="4" t="s">
        <v>41</v>
      </c>
      <c r="F22" s="22">
        <v>-291428.55199999997</v>
      </c>
      <c r="G22" s="14">
        <v>2069010000</v>
      </c>
    </row>
    <row r="23" spans="2:7" ht="12" customHeight="1" x14ac:dyDescent="0.2">
      <c r="B23" s="2" t="s">
        <v>119</v>
      </c>
      <c r="C23" s="4" t="s">
        <v>73</v>
      </c>
      <c r="D23" s="4">
        <v>1037</v>
      </c>
      <c r="E23" s="4" t="s">
        <v>46</v>
      </c>
      <c r="F23" s="22">
        <v>0</v>
      </c>
      <c r="G23" s="14">
        <v>2069010000</v>
      </c>
    </row>
    <row r="24" spans="2:7" ht="12" customHeight="1" x14ac:dyDescent="0.2">
      <c r="B24" s="2" t="s">
        <v>120</v>
      </c>
      <c r="C24" s="4" t="s">
        <v>73</v>
      </c>
      <c r="D24" s="4" t="s">
        <v>4</v>
      </c>
      <c r="E24" s="4" t="s">
        <v>45</v>
      </c>
      <c r="F24" s="22">
        <v>-33736.5</v>
      </c>
      <c r="G24" s="14">
        <v>2069010000</v>
      </c>
    </row>
    <row r="25" spans="2:7" ht="12" customHeight="1" x14ac:dyDescent="0.2">
      <c r="B25" s="2" t="s">
        <v>121</v>
      </c>
      <c r="C25" s="4" t="s">
        <v>73</v>
      </c>
      <c r="D25" s="4">
        <v>1009</v>
      </c>
      <c r="E25" s="4" t="s">
        <v>35</v>
      </c>
      <c r="F25" s="22">
        <v>0</v>
      </c>
      <c r="G25" s="14">
        <v>2069010000</v>
      </c>
    </row>
    <row r="26" spans="2:7" ht="12" customHeight="1" x14ac:dyDescent="0.2">
      <c r="B26" s="2" t="s">
        <v>122</v>
      </c>
      <c r="C26" s="4" t="s">
        <v>73</v>
      </c>
      <c r="D26" s="4">
        <v>1007</v>
      </c>
      <c r="E26" s="4" t="s">
        <v>37</v>
      </c>
      <c r="F26" s="22">
        <v>0</v>
      </c>
      <c r="G26" s="14">
        <v>2069010000</v>
      </c>
    </row>
    <row r="27" spans="2:7" ht="12" customHeight="1" x14ac:dyDescent="0.2">
      <c r="B27" s="2" t="s">
        <v>123</v>
      </c>
      <c r="C27" s="4" t="s">
        <v>73</v>
      </c>
      <c r="D27" s="4">
        <v>1008</v>
      </c>
      <c r="E27" s="4" t="s">
        <v>39</v>
      </c>
      <c r="F27" s="22">
        <v>0</v>
      </c>
      <c r="G27" s="14">
        <v>2069010000</v>
      </c>
    </row>
    <row r="28" spans="2:7" ht="12" customHeight="1" x14ac:dyDescent="0.2">
      <c r="B28" s="2" t="s">
        <v>124</v>
      </c>
      <c r="C28" s="4" t="s">
        <v>73</v>
      </c>
      <c r="D28" s="4">
        <v>1240</v>
      </c>
      <c r="E28" s="4" t="s">
        <v>44</v>
      </c>
      <c r="F28" s="22">
        <v>-199600.4</v>
      </c>
      <c r="G28" s="14">
        <v>2069010000</v>
      </c>
    </row>
    <row r="29" spans="2:7" ht="12" customHeight="1" x14ac:dyDescent="0.2">
      <c r="B29" s="2" t="s">
        <v>125</v>
      </c>
      <c r="C29" s="4" t="s">
        <v>73</v>
      </c>
      <c r="D29" s="4">
        <v>111111</v>
      </c>
      <c r="E29" s="4" t="s">
        <v>211</v>
      </c>
      <c r="F29" s="22">
        <v>-539141.4</v>
      </c>
      <c r="G29" s="14">
        <v>2069010000</v>
      </c>
    </row>
    <row r="30" spans="2:7" ht="12" customHeight="1" x14ac:dyDescent="0.2">
      <c r="B30" s="2" t="s">
        <v>126</v>
      </c>
      <c r="C30" s="4" t="s">
        <v>74</v>
      </c>
      <c r="D30" s="4">
        <v>111111</v>
      </c>
      <c r="E30" s="4" t="s">
        <v>211</v>
      </c>
      <c r="F30" s="22">
        <v>-57.221999999999994</v>
      </c>
      <c r="G30" s="14">
        <v>2069980000</v>
      </c>
    </row>
    <row r="31" spans="2:7" ht="12" customHeight="1" x14ac:dyDescent="0.2">
      <c r="B31" s="2" t="s">
        <v>127</v>
      </c>
      <c r="C31" s="4" t="s">
        <v>75</v>
      </c>
      <c r="D31" s="4">
        <v>111111</v>
      </c>
      <c r="E31" s="4" t="s">
        <v>211</v>
      </c>
      <c r="F31" s="22">
        <v>22314.879999999997</v>
      </c>
      <c r="G31" s="14">
        <v>2070400000</v>
      </c>
    </row>
    <row r="32" spans="2:7" ht="12" customHeight="1" x14ac:dyDescent="0.2">
      <c r="B32" s="2" t="s">
        <v>128</v>
      </c>
      <c r="C32" s="4" t="s">
        <v>76</v>
      </c>
      <c r="D32" s="4">
        <v>88</v>
      </c>
      <c r="E32" s="4" t="s">
        <v>32</v>
      </c>
      <c r="F32" s="22">
        <v>204000</v>
      </c>
      <c r="G32" s="14">
        <v>2070500000</v>
      </c>
    </row>
    <row r="33" spans="2:7" ht="12" customHeight="1" x14ac:dyDescent="0.2">
      <c r="B33" s="2" t="s">
        <v>129</v>
      </c>
      <c r="C33" s="4" t="s">
        <v>76</v>
      </c>
      <c r="D33" s="4">
        <v>111111</v>
      </c>
      <c r="E33" s="4" t="s">
        <v>211</v>
      </c>
      <c r="F33" s="22">
        <v>138.41399999999999</v>
      </c>
      <c r="G33" s="14">
        <v>2070500000</v>
      </c>
    </row>
    <row r="34" spans="2:7" ht="12" customHeight="1" x14ac:dyDescent="0.2">
      <c r="B34" s="2" t="s">
        <v>130</v>
      </c>
      <c r="C34" s="4" t="s">
        <v>77</v>
      </c>
      <c r="D34" s="4">
        <v>111111</v>
      </c>
      <c r="E34" s="4" t="s">
        <v>211</v>
      </c>
      <c r="F34" s="22">
        <v>1127445.872</v>
      </c>
      <c r="G34" s="14">
        <v>2070600000</v>
      </c>
    </row>
    <row r="35" spans="2:7" ht="12" customHeight="1" x14ac:dyDescent="0.2">
      <c r="B35" s="2" t="s">
        <v>131</v>
      </c>
      <c r="C35" s="4" t="s">
        <v>78</v>
      </c>
      <c r="D35" s="4" t="s">
        <v>5</v>
      </c>
      <c r="E35" s="4" t="s">
        <v>42</v>
      </c>
      <c r="F35" s="22">
        <v>133722</v>
      </c>
      <c r="G35" s="14">
        <v>2070900000</v>
      </c>
    </row>
    <row r="36" spans="2:7" ht="12" customHeight="1" x14ac:dyDescent="0.2">
      <c r="B36" s="2" t="s">
        <v>132</v>
      </c>
      <c r="C36" s="4" t="s">
        <v>78</v>
      </c>
      <c r="D36" s="4" t="s">
        <v>6</v>
      </c>
      <c r="E36" s="4" t="s">
        <v>43</v>
      </c>
      <c r="F36" s="22">
        <v>328061.886</v>
      </c>
      <c r="G36" s="14">
        <v>2070900000</v>
      </c>
    </row>
    <row r="37" spans="2:7" ht="12" customHeight="1" x14ac:dyDescent="0.2">
      <c r="B37" s="2" t="s">
        <v>133</v>
      </c>
      <c r="C37" s="4" t="s">
        <v>78</v>
      </c>
      <c r="D37" s="4">
        <v>111111</v>
      </c>
      <c r="E37" s="4" t="s">
        <v>211</v>
      </c>
      <c r="F37" s="22">
        <v>2081304.3219999997</v>
      </c>
      <c r="G37" s="14">
        <v>2070900000</v>
      </c>
    </row>
    <row r="38" spans="2:7" ht="12" customHeight="1" x14ac:dyDescent="0.2">
      <c r="B38" s="2" t="s">
        <v>134</v>
      </c>
      <c r="C38" s="4" t="s">
        <v>7</v>
      </c>
      <c r="D38" s="4">
        <v>111111</v>
      </c>
      <c r="E38" s="4" t="s">
        <v>211</v>
      </c>
      <c r="F38" s="22">
        <v>33410.031999999999</v>
      </c>
      <c r="G38" s="14">
        <v>2071000000</v>
      </c>
    </row>
    <row r="39" spans="2:7" ht="12" customHeight="1" x14ac:dyDescent="0.2">
      <c r="B39" s="2" t="s">
        <v>135</v>
      </c>
      <c r="C39" s="4" t="s">
        <v>79</v>
      </c>
      <c r="D39" s="4">
        <v>111111</v>
      </c>
      <c r="E39" s="4" t="s">
        <v>211</v>
      </c>
      <c r="F39" s="22">
        <v>213090.85199999998</v>
      </c>
      <c r="G39" s="14">
        <v>2071100000</v>
      </c>
    </row>
    <row r="40" spans="2:7" ht="12" customHeight="1" x14ac:dyDescent="0.2">
      <c r="B40" s="2" t="s">
        <v>136</v>
      </c>
      <c r="C40" s="4" t="s">
        <v>8</v>
      </c>
      <c r="D40" s="4">
        <v>111111</v>
      </c>
      <c r="E40" s="4" t="s">
        <v>211</v>
      </c>
      <c r="F40" s="22">
        <v>1813525.004</v>
      </c>
      <c r="G40" s="14">
        <v>2071209200</v>
      </c>
    </row>
    <row r="41" spans="2:7" ht="12" customHeight="1" x14ac:dyDescent="0.2">
      <c r="B41" s="2" t="s">
        <v>137</v>
      </c>
      <c r="C41" s="4" t="s">
        <v>80</v>
      </c>
      <c r="D41" s="4">
        <v>111111</v>
      </c>
      <c r="E41" s="4" t="s">
        <v>211</v>
      </c>
      <c r="F41" s="22">
        <v>5552.2</v>
      </c>
      <c r="G41" s="14">
        <v>2071209400</v>
      </c>
    </row>
    <row r="42" spans="2:7" ht="12" customHeight="1" x14ac:dyDescent="0.2">
      <c r="B42" s="2" t="s">
        <v>138</v>
      </c>
      <c r="C42" s="4" t="s">
        <v>81</v>
      </c>
      <c r="D42" s="4">
        <v>111111</v>
      </c>
      <c r="E42" s="4" t="s">
        <v>211</v>
      </c>
      <c r="F42" s="22">
        <v>43868.975999999995</v>
      </c>
      <c r="G42" s="14">
        <v>2071209500</v>
      </c>
    </row>
    <row r="43" spans="2:7" ht="12" customHeight="1" x14ac:dyDescent="0.2">
      <c r="B43" s="2" t="s">
        <v>139</v>
      </c>
      <c r="C43" s="4" t="s">
        <v>82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140</v>
      </c>
      <c r="C44" s="4" t="s">
        <v>83</v>
      </c>
      <c r="D44" s="4">
        <v>111111</v>
      </c>
      <c r="E44" s="4" t="s">
        <v>211</v>
      </c>
      <c r="F44" s="22">
        <v>20400</v>
      </c>
      <c r="G44" s="14">
        <v>2079022000</v>
      </c>
    </row>
    <row r="45" spans="2:7" ht="12" customHeight="1" x14ac:dyDescent="0.2">
      <c r="B45" s="2" t="s">
        <v>141</v>
      </c>
      <c r="C45" s="4" t="s">
        <v>84</v>
      </c>
      <c r="D45" s="4">
        <v>105</v>
      </c>
      <c r="E45" s="4" t="s">
        <v>33</v>
      </c>
      <c r="F45" s="22">
        <v>0</v>
      </c>
      <c r="G45" s="14">
        <v>2079070000</v>
      </c>
    </row>
    <row r="46" spans="2:7" ht="12" customHeight="1" x14ac:dyDescent="0.2">
      <c r="B46" s="2" t="s">
        <v>142</v>
      </c>
      <c r="C46" s="4" t="s">
        <v>84</v>
      </c>
      <c r="D46" s="4">
        <v>111111</v>
      </c>
      <c r="E46" s="4" t="s">
        <v>211</v>
      </c>
      <c r="F46" s="22">
        <v>563918.152</v>
      </c>
      <c r="G46" s="14">
        <v>2079070000</v>
      </c>
    </row>
    <row r="47" spans="2:7" ht="12" customHeight="1" x14ac:dyDescent="0.2">
      <c r="B47" s="2" t="s">
        <v>143</v>
      </c>
      <c r="C47" s="4" t="s">
        <v>85</v>
      </c>
      <c r="D47" s="4">
        <v>1009</v>
      </c>
      <c r="E47" s="4" t="s">
        <v>35</v>
      </c>
      <c r="F47" s="22">
        <v>0</v>
      </c>
      <c r="G47" s="14">
        <v>2079080000</v>
      </c>
    </row>
    <row r="48" spans="2:7" ht="12" customHeight="1" x14ac:dyDescent="0.2">
      <c r="B48" s="2" t="s">
        <v>144</v>
      </c>
      <c r="C48" s="4" t="s">
        <v>85</v>
      </c>
      <c r="D48" s="4">
        <v>1007</v>
      </c>
      <c r="E48" s="4" t="s">
        <v>37</v>
      </c>
      <c r="F48" s="22">
        <v>0</v>
      </c>
      <c r="G48" s="14">
        <v>2079080000</v>
      </c>
    </row>
    <row r="49" spans="2:7" ht="12" customHeight="1" x14ac:dyDescent="0.2">
      <c r="B49" s="2" t="s">
        <v>145</v>
      </c>
      <c r="C49" s="4" t="s">
        <v>85</v>
      </c>
      <c r="D49" s="4">
        <v>1008</v>
      </c>
      <c r="E49" s="4" t="s">
        <v>39</v>
      </c>
      <c r="F49" s="22">
        <v>0</v>
      </c>
      <c r="G49" s="14">
        <v>2079080000</v>
      </c>
    </row>
    <row r="50" spans="2:7" ht="12" customHeight="1" x14ac:dyDescent="0.2">
      <c r="B50" s="2" t="s">
        <v>146</v>
      </c>
      <c r="C50" s="4" t="s">
        <v>86</v>
      </c>
      <c r="D50" s="4">
        <v>1009</v>
      </c>
      <c r="E50" s="4" t="s">
        <v>35</v>
      </c>
      <c r="F50" s="22">
        <v>0</v>
      </c>
      <c r="G50" s="14">
        <v>2082280000</v>
      </c>
    </row>
    <row r="51" spans="2:7" ht="12" customHeight="1" x14ac:dyDescent="0.2">
      <c r="B51" s="2" t="s">
        <v>147</v>
      </c>
      <c r="C51" s="4" t="s">
        <v>86</v>
      </c>
      <c r="D51" s="4">
        <v>1007</v>
      </c>
      <c r="E51" s="4" t="s">
        <v>37</v>
      </c>
      <c r="F51" s="22">
        <v>0</v>
      </c>
      <c r="G51" s="14">
        <v>2082280000</v>
      </c>
    </row>
    <row r="52" spans="2:7" ht="12" customHeight="1" x14ac:dyDescent="0.2">
      <c r="B52" s="2" t="s">
        <v>148</v>
      </c>
      <c r="C52" s="4" t="s">
        <v>86</v>
      </c>
      <c r="D52" s="4">
        <v>1008</v>
      </c>
      <c r="E52" s="4" t="s">
        <v>39</v>
      </c>
      <c r="F52" s="22">
        <v>0</v>
      </c>
      <c r="G52" s="14">
        <v>2082280000</v>
      </c>
    </row>
    <row r="53" spans="2:7" ht="12" customHeight="1" x14ac:dyDescent="0.2">
      <c r="B53" s="2" t="s">
        <v>149</v>
      </c>
      <c r="C53" s="4" t="s">
        <v>86</v>
      </c>
      <c r="D53" s="4">
        <v>1240</v>
      </c>
      <c r="E53" s="4" t="s">
        <v>44</v>
      </c>
      <c r="F53" s="22">
        <v>-35810.228000000003</v>
      </c>
      <c r="G53" s="14">
        <v>2082280000</v>
      </c>
    </row>
    <row r="54" spans="2:7" ht="12" customHeight="1" x14ac:dyDescent="0.2">
      <c r="B54" s="2" t="s">
        <v>150</v>
      </c>
      <c r="C54" s="4" t="s">
        <v>86</v>
      </c>
      <c r="D54" s="4">
        <v>111111</v>
      </c>
      <c r="E54" s="4" t="s">
        <v>211</v>
      </c>
      <c r="F54" s="22">
        <v>-51927.417999999998</v>
      </c>
      <c r="G54" s="14">
        <v>2082280000</v>
      </c>
    </row>
    <row r="55" spans="2:7" ht="12" customHeight="1" x14ac:dyDescent="0.2">
      <c r="B55" s="2" t="s">
        <v>151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152</v>
      </c>
      <c r="C56" s="4" t="s">
        <v>87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153</v>
      </c>
      <c r="C57" s="4" t="s">
        <v>88</v>
      </c>
      <c r="D57" s="4">
        <v>88</v>
      </c>
      <c r="E57" s="4" t="s">
        <v>32</v>
      </c>
      <c r="F57" s="22">
        <v>2930430.0120000001</v>
      </c>
      <c r="G57" s="14">
        <v>2082214000</v>
      </c>
    </row>
    <row r="58" spans="2:7" ht="12" customHeight="1" x14ac:dyDescent="0.2">
      <c r="B58" s="2" t="s">
        <v>154</v>
      </c>
      <c r="C58" s="4" t="s">
        <v>89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155</v>
      </c>
      <c r="C59" s="4" t="s">
        <v>90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156</v>
      </c>
      <c r="C60" s="4" t="s">
        <v>91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157</v>
      </c>
      <c r="C61" s="20" t="s">
        <v>64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101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57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99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2">
        <v>-355396.61499999999</v>
      </c>
      <c r="G5" s="4">
        <v>2001110000</v>
      </c>
    </row>
    <row r="6" spans="2:7" x14ac:dyDescent="0.2">
      <c r="B6" s="2" t="s">
        <v>102</v>
      </c>
      <c r="C6" s="4" t="s">
        <v>65</v>
      </c>
      <c r="D6" s="4">
        <v>111111</v>
      </c>
      <c r="E6" s="4" t="s">
        <v>211</v>
      </c>
      <c r="F6" s="22">
        <v>-15792898.75</v>
      </c>
      <c r="G6" s="4">
        <v>2001110000</v>
      </c>
    </row>
    <row r="7" spans="2:7" ht="12" customHeight="1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-6960217.6449999996</v>
      </c>
      <c r="G7" s="4">
        <v>2001190000</v>
      </c>
    </row>
    <row r="8" spans="2:7" x14ac:dyDescent="0.2">
      <c r="B8" s="2" t="s">
        <v>159</v>
      </c>
      <c r="C8" s="4" t="s">
        <v>67</v>
      </c>
      <c r="D8" s="4" t="s">
        <v>10</v>
      </c>
      <c r="E8" s="4" t="s">
        <v>47</v>
      </c>
      <c r="F8" s="22">
        <v>-420017.14999999997</v>
      </c>
      <c r="G8" s="4">
        <v>2020000000</v>
      </c>
    </row>
    <row r="9" spans="2:7" x14ac:dyDescent="0.2">
      <c r="B9" s="2" t="s">
        <v>105</v>
      </c>
      <c r="C9" s="4" t="s">
        <v>67</v>
      </c>
      <c r="D9" s="4">
        <v>1007</v>
      </c>
      <c r="E9" s="4" t="s">
        <v>37</v>
      </c>
      <c r="F9" s="22">
        <v>-89234.880000000005</v>
      </c>
      <c r="G9" s="4">
        <v>2020000000</v>
      </c>
    </row>
    <row r="10" spans="2:7" x14ac:dyDescent="0.2">
      <c r="B10" s="2" t="s">
        <v>106</v>
      </c>
      <c r="C10" s="4" t="s">
        <v>67</v>
      </c>
      <c r="D10" s="4">
        <v>1008</v>
      </c>
      <c r="E10" s="4" t="s">
        <v>39</v>
      </c>
      <c r="F10" s="22">
        <v>-26173</v>
      </c>
      <c r="G10" s="4">
        <v>2020000000</v>
      </c>
    </row>
    <row r="11" spans="2:7" x14ac:dyDescent="0.2">
      <c r="B11" s="2" t="s">
        <v>107</v>
      </c>
      <c r="C11" s="4" t="s">
        <v>67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160</v>
      </c>
      <c r="C12" s="4" t="s">
        <v>212</v>
      </c>
      <c r="D12" s="4">
        <v>111111</v>
      </c>
      <c r="E12" s="4" t="s">
        <v>211</v>
      </c>
      <c r="F12" s="22">
        <v>14589.33</v>
      </c>
      <c r="G12" s="4">
        <v>2021210000</v>
      </c>
    </row>
    <row r="13" spans="2:7" x14ac:dyDescent="0.2">
      <c r="B13" s="2" t="s">
        <v>108</v>
      </c>
      <c r="C13" s="4" t="s">
        <v>228</v>
      </c>
      <c r="D13" s="4">
        <v>111111</v>
      </c>
      <c r="E13" s="4" t="s">
        <v>211</v>
      </c>
      <c r="F13" s="22">
        <v>5463188.8250000002</v>
      </c>
      <c r="G13" s="4">
        <v>2021900000</v>
      </c>
    </row>
    <row r="14" spans="2:7" x14ac:dyDescent="0.2">
      <c r="B14" s="2" t="s">
        <v>109</v>
      </c>
      <c r="C14" s="4" t="s">
        <v>69</v>
      </c>
      <c r="D14" s="4">
        <v>111111</v>
      </c>
      <c r="E14" s="4" t="s">
        <v>211</v>
      </c>
      <c r="F14" s="22">
        <v>343675</v>
      </c>
      <c r="G14" s="4">
        <v>2024080000</v>
      </c>
    </row>
    <row r="15" spans="2:7" x14ac:dyDescent="0.2">
      <c r="B15" s="2" t="s">
        <v>161</v>
      </c>
      <c r="C15" s="4" t="s">
        <v>68</v>
      </c>
      <c r="D15" s="4">
        <v>19</v>
      </c>
      <c r="E15" s="4" t="s">
        <v>41</v>
      </c>
      <c r="F15" s="22">
        <v>38521</v>
      </c>
      <c r="G15" s="4">
        <v>2024090000</v>
      </c>
    </row>
    <row r="16" spans="2:7" x14ac:dyDescent="0.2">
      <c r="B16" s="2" t="s">
        <v>110</v>
      </c>
      <c r="C16" s="4" t="s">
        <v>68</v>
      </c>
      <c r="D16" s="4">
        <v>88</v>
      </c>
      <c r="E16" s="4" t="s">
        <v>32</v>
      </c>
      <c r="F16" s="22">
        <v>1980162.23</v>
      </c>
      <c r="G16" s="4">
        <v>2024090000</v>
      </c>
    </row>
    <row r="17" spans="2:7" x14ac:dyDescent="0.2">
      <c r="B17" s="2" t="s">
        <v>162</v>
      </c>
      <c r="C17" s="4" t="s">
        <v>68</v>
      </c>
      <c r="D17" s="4" t="s">
        <v>11</v>
      </c>
      <c r="E17" s="4" t="s">
        <v>34</v>
      </c>
      <c r="F17" s="22">
        <v>1820</v>
      </c>
      <c r="G17" s="4">
        <v>2024090000</v>
      </c>
    </row>
    <row r="18" spans="2:7" x14ac:dyDescent="0.2">
      <c r="B18" s="2" t="s">
        <v>163</v>
      </c>
      <c r="C18" s="4" t="s">
        <v>68</v>
      </c>
      <c r="D18" s="4" t="s">
        <v>12</v>
      </c>
      <c r="E18" s="4" t="s">
        <v>36</v>
      </c>
      <c r="F18" s="22">
        <v>10448.129999999999</v>
      </c>
      <c r="G18" s="4">
        <v>2024090000</v>
      </c>
    </row>
    <row r="19" spans="2:7" x14ac:dyDescent="0.2">
      <c r="B19" s="2" t="s">
        <v>164</v>
      </c>
      <c r="C19" s="4" t="s">
        <v>68</v>
      </c>
      <c r="D19" s="4" t="s">
        <v>13</v>
      </c>
      <c r="E19" s="4" t="s">
        <v>49</v>
      </c>
      <c r="F19" s="22">
        <v>10412.5</v>
      </c>
      <c r="G19" s="4">
        <v>2024090000</v>
      </c>
    </row>
    <row r="20" spans="2:7" x14ac:dyDescent="0.2">
      <c r="B20" s="2" t="s">
        <v>111</v>
      </c>
      <c r="C20" s="4" t="s">
        <v>68</v>
      </c>
      <c r="D20" s="4">
        <v>111111</v>
      </c>
      <c r="E20" s="4" t="s">
        <v>211</v>
      </c>
      <c r="F20" s="22">
        <v>27148.625</v>
      </c>
      <c r="G20" s="4">
        <v>2024090000</v>
      </c>
    </row>
    <row r="21" spans="2:7" x14ac:dyDescent="0.2">
      <c r="B21" s="2" t="s">
        <v>112</v>
      </c>
      <c r="C21" s="4" t="s">
        <v>1</v>
      </c>
      <c r="D21" s="4">
        <v>111111</v>
      </c>
      <c r="E21" s="4" t="s">
        <v>211</v>
      </c>
      <c r="F21" s="22">
        <v>5507141.0549999997</v>
      </c>
      <c r="G21" s="4">
        <v>2041000000</v>
      </c>
    </row>
    <row r="22" spans="2:7" x14ac:dyDescent="0.2">
      <c r="B22" s="2" t="s">
        <v>113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113</v>
      </c>
      <c r="C23" s="4" t="s">
        <v>70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114</v>
      </c>
      <c r="C24" s="4" t="s">
        <v>71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165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115</v>
      </c>
      <c r="C26" s="4" t="s">
        <v>72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116</v>
      </c>
      <c r="C27" s="4" t="s">
        <v>72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166</v>
      </c>
      <c r="C28" s="4" t="s">
        <v>15</v>
      </c>
      <c r="D28" s="4">
        <v>111111</v>
      </c>
      <c r="E28" s="4" t="s">
        <v>211</v>
      </c>
      <c r="F28" s="22">
        <v>-121553.07499999998</v>
      </c>
      <c r="G28" s="4">
        <v>2060220000</v>
      </c>
    </row>
    <row r="29" spans="2:7" x14ac:dyDescent="0.2">
      <c r="B29" s="2" t="s">
        <v>117</v>
      </c>
      <c r="C29" s="4" t="s">
        <v>73</v>
      </c>
      <c r="D29" s="4" t="s">
        <v>3</v>
      </c>
      <c r="E29" s="4" t="s">
        <v>40</v>
      </c>
      <c r="F29" s="22">
        <v>-1643711.145</v>
      </c>
      <c r="G29" s="4">
        <v>2069010000</v>
      </c>
    </row>
    <row r="30" spans="2:7" x14ac:dyDescent="0.2">
      <c r="B30" s="2" t="s">
        <v>167</v>
      </c>
      <c r="C30" s="4" t="s">
        <v>73</v>
      </c>
      <c r="D30" s="4">
        <v>19</v>
      </c>
      <c r="E30" s="4" t="s">
        <v>41</v>
      </c>
      <c r="F30" s="22">
        <v>-416278.66</v>
      </c>
      <c r="G30" s="4">
        <v>2069010000</v>
      </c>
    </row>
    <row r="31" spans="2:7" x14ac:dyDescent="0.2">
      <c r="B31" s="2" t="s">
        <v>168</v>
      </c>
      <c r="C31" s="4" t="s">
        <v>73</v>
      </c>
      <c r="D31" s="4" t="s">
        <v>16</v>
      </c>
      <c r="E31" s="4" t="s">
        <v>51</v>
      </c>
      <c r="F31" s="22">
        <v>-364243.84499999997</v>
      </c>
      <c r="G31" s="4">
        <v>2069010000</v>
      </c>
    </row>
    <row r="32" spans="2:7" x14ac:dyDescent="0.2">
      <c r="B32" s="2" t="s">
        <v>169</v>
      </c>
      <c r="C32" s="4" t="s">
        <v>73</v>
      </c>
      <c r="D32" s="4" t="s">
        <v>10</v>
      </c>
      <c r="E32" s="4" t="s">
        <v>47</v>
      </c>
      <c r="F32" s="22">
        <v>0</v>
      </c>
      <c r="G32" s="4">
        <v>2069010000</v>
      </c>
    </row>
    <row r="33" spans="2:7" x14ac:dyDescent="0.2">
      <c r="B33" s="2" t="s">
        <v>121</v>
      </c>
      <c r="C33" s="4" t="s">
        <v>73</v>
      </c>
      <c r="D33" s="4">
        <v>1009</v>
      </c>
      <c r="E33" s="4" t="s">
        <v>35</v>
      </c>
      <c r="F33" s="22">
        <v>0</v>
      </c>
      <c r="G33" s="4">
        <v>2069010000</v>
      </c>
    </row>
    <row r="34" spans="2:7" x14ac:dyDescent="0.2">
      <c r="B34" s="2" t="s">
        <v>122</v>
      </c>
      <c r="C34" s="4" t="s">
        <v>73</v>
      </c>
      <c r="D34" s="4">
        <v>1007</v>
      </c>
      <c r="E34" s="4" t="s">
        <v>37</v>
      </c>
      <c r="F34" s="22">
        <v>0</v>
      </c>
      <c r="G34" s="4">
        <v>2069010000</v>
      </c>
    </row>
    <row r="35" spans="2:7" x14ac:dyDescent="0.2">
      <c r="B35" s="2" t="s">
        <v>123</v>
      </c>
      <c r="C35" s="4" t="s">
        <v>73</v>
      </c>
      <c r="D35" s="4">
        <v>1008</v>
      </c>
      <c r="E35" s="4" t="s">
        <v>39</v>
      </c>
      <c r="F35" s="22">
        <v>0</v>
      </c>
      <c r="G35" s="4">
        <v>2069010000</v>
      </c>
    </row>
    <row r="36" spans="2:7" x14ac:dyDescent="0.2">
      <c r="B36" s="2" t="s">
        <v>124</v>
      </c>
      <c r="C36" s="4" t="s">
        <v>73</v>
      </c>
      <c r="D36" s="4">
        <v>1240</v>
      </c>
      <c r="E36" s="4" t="s">
        <v>44</v>
      </c>
      <c r="F36" s="22">
        <v>-10461.36</v>
      </c>
      <c r="G36" s="4">
        <v>2069010000</v>
      </c>
    </row>
    <row r="37" spans="2:7" x14ac:dyDescent="0.2">
      <c r="B37" s="2" t="s">
        <v>122</v>
      </c>
      <c r="C37" s="4" t="s">
        <v>73</v>
      </c>
      <c r="D37" s="4">
        <v>1007</v>
      </c>
      <c r="E37" s="4" t="s">
        <v>38</v>
      </c>
      <c r="F37" s="22">
        <v>0</v>
      </c>
      <c r="G37" s="4">
        <v>2069010000</v>
      </c>
    </row>
    <row r="38" spans="2:7" x14ac:dyDescent="0.2">
      <c r="B38" s="2" t="s">
        <v>170</v>
      </c>
      <c r="C38" s="4" t="s">
        <v>73</v>
      </c>
      <c r="D38" s="4" t="s">
        <v>17</v>
      </c>
      <c r="E38" s="4" t="s">
        <v>52</v>
      </c>
      <c r="F38" s="22">
        <v>-482611.04499999998</v>
      </c>
      <c r="G38" s="4">
        <v>2069010000</v>
      </c>
    </row>
    <row r="39" spans="2:7" x14ac:dyDescent="0.2">
      <c r="B39" s="2" t="s">
        <v>125</v>
      </c>
      <c r="C39" s="4" t="s">
        <v>73</v>
      </c>
      <c r="D39" s="4">
        <v>111111</v>
      </c>
      <c r="E39" s="4" t="s">
        <v>211</v>
      </c>
      <c r="F39" s="22">
        <v>-6785.94</v>
      </c>
      <c r="G39" s="4">
        <v>2069010000</v>
      </c>
    </row>
    <row r="40" spans="2:7" x14ac:dyDescent="0.2">
      <c r="B40" s="2" t="s">
        <v>171</v>
      </c>
      <c r="C40" s="4" t="s">
        <v>74</v>
      </c>
      <c r="D40" s="4">
        <v>88</v>
      </c>
      <c r="E40" s="4" t="s">
        <v>32</v>
      </c>
      <c r="F40" s="22">
        <v>-2436.35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9793.84</v>
      </c>
      <c r="G41" s="4">
        <v>2069980000</v>
      </c>
    </row>
    <row r="42" spans="2:7" x14ac:dyDescent="0.2">
      <c r="B42" s="2" t="s">
        <v>172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127</v>
      </c>
      <c r="C43" s="4" t="s">
        <v>75</v>
      </c>
      <c r="D43" s="4">
        <v>111111</v>
      </c>
      <c r="E43" s="4" t="s">
        <v>211</v>
      </c>
      <c r="F43" s="22">
        <v>65947.7</v>
      </c>
      <c r="G43" s="4">
        <v>2070400000</v>
      </c>
    </row>
    <row r="44" spans="2:7" x14ac:dyDescent="0.2">
      <c r="B44" s="2" t="s">
        <v>129</v>
      </c>
      <c r="C44" s="4" t="s">
        <v>76</v>
      </c>
      <c r="D44" s="4">
        <v>111111</v>
      </c>
      <c r="E44" s="4" t="s">
        <v>211</v>
      </c>
      <c r="F44" s="22">
        <v>5138.91</v>
      </c>
      <c r="G44" s="4">
        <v>2070500000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1055381.4750000001</v>
      </c>
      <c r="G45" s="4">
        <v>2070600000</v>
      </c>
    </row>
    <row r="46" spans="2:7" x14ac:dyDescent="0.2">
      <c r="B46" s="2" t="s">
        <v>132</v>
      </c>
      <c r="C46" s="4" t="s">
        <v>78</v>
      </c>
      <c r="D46" s="4" t="s">
        <v>6</v>
      </c>
      <c r="E46" s="4" t="s">
        <v>43</v>
      </c>
      <c r="F46" s="22">
        <v>430845.34499999997</v>
      </c>
      <c r="G46" s="4">
        <v>2070900000</v>
      </c>
    </row>
    <row r="47" spans="2:7" x14ac:dyDescent="0.2">
      <c r="B47" s="2" t="s">
        <v>173</v>
      </c>
      <c r="C47" s="4" t="s">
        <v>78</v>
      </c>
      <c r="D47" s="4">
        <v>105</v>
      </c>
      <c r="E47" s="4" t="s">
        <v>33</v>
      </c>
      <c r="F47" s="22">
        <v>276920</v>
      </c>
      <c r="G47" s="4">
        <v>2070900000</v>
      </c>
    </row>
    <row r="48" spans="2:7" x14ac:dyDescent="0.2">
      <c r="B48" s="2" t="s">
        <v>133</v>
      </c>
      <c r="C48" s="4" t="s">
        <v>78</v>
      </c>
      <c r="D48" s="4">
        <v>111111</v>
      </c>
      <c r="E48" s="4" t="s">
        <v>211</v>
      </c>
      <c r="F48" s="22">
        <v>1130021</v>
      </c>
      <c r="G48" s="4">
        <v>2070900000</v>
      </c>
    </row>
    <row r="49" spans="2:7" x14ac:dyDescent="0.2">
      <c r="B49" s="2" t="s">
        <v>134</v>
      </c>
      <c r="C49" s="4" t="s">
        <v>7</v>
      </c>
      <c r="D49" s="4">
        <v>111111</v>
      </c>
      <c r="E49" s="4" t="s">
        <v>211</v>
      </c>
      <c r="F49" s="22">
        <v>7293.5450000000001</v>
      </c>
      <c r="G49" s="4">
        <v>2071000000</v>
      </c>
    </row>
    <row r="50" spans="2:7" x14ac:dyDescent="0.2">
      <c r="B50" s="2" t="s">
        <v>174</v>
      </c>
      <c r="C50" s="4" t="s">
        <v>79</v>
      </c>
      <c r="D50" s="4">
        <v>1900</v>
      </c>
      <c r="E50" s="4" t="s">
        <v>53</v>
      </c>
      <c r="F50" s="22">
        <v>0</v>
      </c>
      <c r="G50" s="4">
        <v>2071100000</v>
      </c>
    </row>
    <row r="51" spans="2:7" x14ac:dyDescent="0.2">
      <c r="B51" s="2" t="s">
        <v>135</v>
      </c>
      <c r="C51" s="4" t="s">
        <v>79</v>
      </c>
      <c r="D51" s="4">
        <v>111111</v>
      </c>
      <c r="E51" s="4" t="s">
        <v>211</v>
      </c>
      <c r="F51" s="22">
        <v>48468.665000000001</v>
      </c>
      <c r="G51" s="4">
        <v>2071100000</v>
      </c>
    </row>
    <row r="52" spans="2:7" x14ac:dyDescent="0.2">
      <c r="B52" s="2" t="s">
        <v>175</v>
      </c>
      <c r="C52" s="4" t="s">
        <v>8</v>
      </c>
      <c r="D52" s="4" t="s">
        <v>19</v>
      </c>
      <c r="E52" s="4" t="s">
        <v>55</v>
      </c>
      <c r="F52" s="22">
        <v>23928.799999999999</v>
      </c>
      <c r="G52" s="4">
        <v>2071209200</v>
      </c>
    </row>
    <row r="53" spans="2:7" x14ac:dyDescent="0.2">
      <c r="B53" s="2" t="s">
        <v>136</v>
      </c>
      <c r="C53" s="4" t="s">
        <v>8</v>
      </c>
      <c r="D53" s="4">
        <v>111111</v>
      </c>
      <c r="E53" s="4" t="s">
        <v>211</v>
      </c>
      <c r="F53" s="22">
        <v>2393259.19</v>
      </c>
      <c r="G53" s="4">
        <v>2071209200</v>
      </c>
    </row>
    <row r="54" spans="2:7" x14ac:dyDescent="0.2">
      <c r="B54" s="2" t="s">
        <v>137</v>
      </c>
      <c r="C54" s="4" t="s">
        <v>80</v>
      </c>
      <c r="D54" s="4">
        <v>111111</v>
      </c>
      <c r="E54" s="4" t="s">
        <v>211</v>
      </c>
      <c r="F54" s="22">
        <v>23069.654999999999</v>
      </c>
      <c r="G54" s="4">
        <v>2071209400</v>
      </c>
    </row>
    <row r="55" spans="2:7" x14ac:dyDescent="0.2">
      <c r="B55" s="2" t="s">
        <v>138</v>
      </c>
      <c r="C55" s="4" t="s">
        <v>81</v>
      </c>
      <c r="D55" s="4">
        <v>111111</v>
      </c>
      <c r="E55" s="4" t="s">
        <v>211</v>
      </c>
      <c r="F55" s="22">
        <v>208366.935</v>
      </c>
      <c r="G55" s="4">
        <v>2071209500</v>
      </c>
    </row>
    <row r="56" spans="2:7" x14ac:dyDescent="0.2">
      <c r="B56" s="2" t="s">
        <v>176</v>
      </c>
      <c r="C56" s="4" t="s">
        <v>20</v>
      </c>
      <c r="D56" s="4">
        <v>111111</v>
      </c>
      <c r="E56" s="4" t="s">
        <v>211</v>
      </c>
      <c r="F56" s="22">
        <v>308232</v>
      </c>
      <c r="G56" s="4">
        <v>2071220000</v>
      </c>
    </row>
    <row r="57" spans="2:7" x14ac:dyDescent="0.2">
      <c r="B57" s="2" t="s">
        <v>177</v>
      </c>
      <c r="C57" s="4" t="s">
        <v>21</v>
      </c>
      <c r="D57" s="4">
        <v>19</v>
      </c>
      <c r="E57" s="4" t="s">
        <v>41</v>
      </c>
      <c r="F57" s="22">
        <v>13422.779999999999</v>
      </c>
      <c r="G57" s="4">
        <v>2071511000</v>
      </c>
    </row>
    <row r="58" spans="2:7" x14ac:dyDescent="0.2">
      <c r="B58" s="2" t="s">
        <v>178</v>
      </c>
      <c r="C58" s="4" t="s">
        <v>21</v>
      </c>
      <c r="D58" s="4">
        <v>111111</v>
      </c>
      <c r="E58" s="4" t="s">
        <v>211</v>
      </c>
      <c r="F58" s="22">
        <v>4045.6150000000002</v>
      </c>
      <c r="G58" s="4">
        <v>2071511000</v>
      </c>
    </row>
    <row r="59" spans="2:7" x14ac:dyDescent="0.2">
      <c r="B59" s="2" t="s">
        <v>179</v>
      </c>
      <c r="C59" s="4" t="s">
        <v>22</v>
      </c>
      <c r="D59" s="4">
        <v>111111</v>
      </c>
      <c r="E59" s="4" t="s">
        <v>211</v>
      </c>
      <c r="F59" s="22">
        <v>49621.144999999997</v>
      </c>
      <c r="G59" s="4">
        <v>2071910000</v>
      </c>
    </row>
    <row r="60" spans="2:7" x14ac:dyDescent="0.2">
      <c r="B60" s="2" t="s">
        <v>139</v>
      </c>
      <c r="C60" s="4" t="s">
        <v>82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140</v>
      </c>
      <c r="C61" s="4" t="s">
        <v>83</v>
      </c>
      <c r="D61" s="4">
        <v>111111</v>
      </c>
      <c r="E61" s="4" t="s">
        <v>211</v>
      </c>
      <c r="F61" s="22">
        <v>169489</v>
      </c>
      <c r="G61" s="4">
        <v>2079022000</v>
      </c>
    </row>
    <row r="62" spans="2:7" x14ac:dyDescent="0.2">
      <c r="B62" s="2" t="s">
        <v>180</v>
      </c>
      <c r="C62" s="4" t="s">
        <v>84</v>
      </c>
      <c r="D62" s="4">
        <v>19</v>
      </c>
      <c r="E62" s="4" t="s">
        <v>41</v>
      </c>
      <c r="F62" s="22">
        <v>85462.684999999998</v>
      </c>
      <c r="G62" s="4">
        <v>2079070000</v>
      </c>
    </row>
    <row r="63" spans="2:7" x14ac:dyDescent="0.2">
      <c r="B63" s="2" t="s">
        <v>181</v>
      </c>
      <c r="C63" s="4" t="s">
        <v>84</v>
      </c>
      <c r="D63" s="4" t="s">
        <v>5</v>
      </c>
      <c r="E63" s="4" t="s">
        <v>42</v>
      </c>
      <c r="F63" s="22">
        <v>11422.144999999999</v>
      </c>
      <c r="G63" s="4">
        <v>2079070000</v>
      </c>
    </row>
    <row r="64" spans="2:7" x14ac:dyDescent="0.2">
      <c r="B64" s="2" t="s">
        <v>182</v>
      </c>
      <c r="C64" s="4" t="s">
        <v>84</v>
      </c>
      <c r="D64" s="4" t="s">
        <v>12</v>
      </c>
      <c r="E64" s="4" t="s">
        <v>36</v>
      </c>
      <c r="F64" s="22">
        <v>84438.864999999991</v>
      </c>
      <c r="G64" s="4">
        <v>2079070000</v>
      </c>
    </row>
    <row r="65" spans="2:7" x14ac:dyDescent="0.2">
      <c r="B65" s="2" t="s">
        <v>142</v>
      </c>
      <c r="C65" s="4" t="s">
        <v>84</v>
      </c>
      <c r="D65" s="4">
        <v>111111</v>
      </c>
      <c r="E65" s="4" t="s">
        <v>211</v>
      </c>
      <c r="F65" s="22">
        <v>638869.13</v>
      </c>
      <c r="G65" s="4">
        <v>2079070000</v>
      </c>
    </row>
    <row r="66" spans="2:7" x14ac:dyDescent="0.2">
      <c r="B66" s="2" t="s">
        <v>183</v>
      </c>
      <c r="C66" s="4" t="s">
        <v>85</v>
      </c>
      <c r="D66" s="4" t="s">
        <v>10</v>
      </c>
      <c r="E66" s="4" t="s">
        <v>47</v>
      </c>
      <c r="F66" s="22">
        <v>0</v>
      </c>
      <c r="G66" s="4">
        <v>2079080000</v>
      </c>
    </row>
    <row r="67" spans="2:7" x14ac:dyDescent="0.2">
      <c r="B67" s="2" t="s">
        <v>144</v>
      </c>
      <c r="C67" s="4" t="s">
        <v>85</v>
      </c>
      <c r="D67" s="4">
        <v>1007</v>
      </c>
      <c r="E67" s="4" t="s">
        <v>37</v>
      </c>
      <c r="F67" s="22">
        <v>0</v>
      </c>
      <c r="G67" s="4">
        <v>2079080000</v>
      </c>
    </row>
    <row r="68" spans="2:7" x14ac:dyDescent="0.2">
      <c r="B68" s="2" t="s">
        <v>145</v>
      </c>
      <c r="C68" s="4" t="s">
        <v>85</v>
      </c>
      <c r="D68" s="4">
        <v>1008</v>
      </c>
      <c r="E68" s="4" t="s">
        <v>39</v>
      </c>
      <c r="F68" s="22">
        <v>0</v>
      </c>
      <c r="G68" s="4">
        <v>2079080000</v>
      </c>
    </row>
    <row r="69" spans="2:7" x14ac:dyDescent="0.2">
      <c r="B69" s="2" t="s">
        <v>184</v>
      </c>
      <c r="C69" s="4" t="s">
        <v>86</v>
      </c>
      <c r="D69" s="4" t="s">
        <v>10</v>
      </c>
      <c r="E69" s="4" t="s">
        <v>47</v>
      </c>
      <c r="F69" s="22">
        <v>0</v>
      </c>
      <c r="G69" s="4">
        <v>2082280000</v>
      </c>
    </row>
    <row r="70" spans="2:7" x14ac:dyDescent="0.2">
      <c r="B70" s="2" t="s">
        <v>146</v>
      </c>
      <c r="C70" s="4" t="s">
        <v>86</v>
      </c>
      <c r="D70" s="4">
        <v>1009</v>
      </c>
      <c r="E70" s="4" t="s">
        <v>35</v>
      </c>
      <c r="F70" s="22">
        <v>0</v>
      </c>
      <c r="G70" s="4">
        <v>2082280000</v>
      </c>
    </row>
    <row r="71" spans="2:7" x14ac:dyDescent="0.2">
      <c r="B71" s="2" t="s">
        <v>147</v>
      </c>
      <c r="C71" s="4" t="s">
        <v>86</v>
      </c>
      <c r="D71" s="4">
        <v>1007</v>
      </c>
      <c r="E71" s="4" t="s">
        <v>37</v>
      </c>
      <c r="F71" s="22">
        <v>0</v>
      </c>
      <c r="G71" s="4">
        <v>2082280000</v>
      </c>
    </row>
    <row r="72" spans="2:7" x14ac:dyDescent="0.2">
      <c r="B72" s="2" t="s">
        <v>148</v>
      </c>
      <c r="C72" s="4" t="s">
        <v>86</v>
      </c>
      <c r="D72" s="4">
        <v>1008</v>
      </c>
      <c r="E72" s="4" t="s">
        <v>39</v>
      </c>
      <c r="F72" s="22">
        <v>0</v>
      </c>
      <c r="G72" s="4">
        <v>2082280000</v>
      </c>
    </row>
    <row r="73" spans="2:7" x14ac:dyDescent="0.2">
      <c r="B73" s="2" t="s">
        <v>149</v>
      </c>
      <c r="C73" s="4" t="s">
        <v>86</v>
      </c>
      <c r="D73" s="4">
        <v>1240</v>
      </c>
      <c r="E73" s="4" t="s">
        <v>44</v>
      </c>
      <c r="F73" s="22">
        <v>-34224.959999999999</v>
      </c>
      <c r="G73" s="4">
        <v>2082280000</v>
      </c>
    </row>
    <row r="74" spans="2:7" x14ac:dyDescent="0.2">
      <c r="B74" s="2" t="s">
        <v>185</v>
      </c>
      <c r="C74" s="4" t="s">
        <v>86</v>
      </c>
      <c r="D74" s="4">
        <v>1006</v>
      </c>
      <c r="E74" s="4" t="s">
        <v>54</v>
      </c>
      <c r="F74" s="22">
        <v>-6778.415</v>
      </c>
      <c r="G74" s="4">
        <v>2082280000</v>
      </c>
    </row>
    <row r="75" spans="2:7" x14ac:dyDescent="0.2">
      <c r="B75" s="2" t="s">
        <v>147</v>
      </c>
      <c r="C75" s="4" t="s">
        <v>86</v>
      </c>
      <c r="D75" s="4">
        <v>1007</v>
      </c>
      <c r="E75" s="4" t="s">
        <v>38</v>
      </c>
      <c r="F75" s="22">
        <v>0</v>
      </c>
      <c r="G75" s="4">
        <v>2082280000</v>
      </c>
    </row>
    <row r="76" spans="2:7" x14ac:dyDescent="0.2">
      <c r="B76" s="2" t="s">
        <v>150</v>
      </c>
      <c r="C76" s="4" t="s">
        <v>86</v>
      </c>
      <c r="D76" s="4">
        <v>111111</v>
      </c>
      <c r="E76" s="4" t="s">
        <v>211</v>
      </c>
      <c r="F76" s="22">
        <v>-2204.7199999999998</v>
      </c>
      <c r="G76" s="4">
        <v>2082280000</v>
      </c>
    </row>
    <row r="77" spans="2:7" x14ac:dyDescent="0.2">
      <c r="B77" s="2" t="s">
        <v>152</v>
      </c>
      <c r="C77" s="4" t="s">
        <v>87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153</v>
      </c>
      <c r="C78" s="4" t="s">
        <v>88</v>
      </c>
      <c r="D78" s="4">
        <v>88</v>
      </c>
      <c r="E78" s="4" t="s">
        <v>32</v>
      </c>
      <c r="F78" s="22">
        <v>2752704.22</v>
      </c>
      <c r="G78" s="4">
        <v>2082214000</v>
      </c>
    </row>
    <row r="79" spans="2:7" x14ac:dyDescent="0.2">
      <c r="B79" s="2" t="s">
        <v>186</v>
      </c>
      <c r="C79" s="4" t="s">
        <v>88</v>
      </c>
      <c r="D79" s="4">
        <v>1007</v>
      </c>
      <c r="E79" s="4" t="s">
        <v>38</v>
      </c>
      <c r="F79" s="22">
        <v>0</v>
      </c>
      <c r="G79" s="4">
        <v>2082214000</v>
      </c>
    </row>
    <row r="80" spans="2:7" x14ac:dyDescent="0.2">
      <c r="B80" s="2" t="s">
        <v>187</v>
      </c>
      <c r="C80" s="4" t="s">
        <v>88</v>
      </c>
      <c r="D80" s="4">
        <v>111111</v>
      </c>
      <c r="E80" s="4" t="s">
        <v>211</v>
      </c>
      <c r="F80" s="22">
        <v>1250.7950000000001</v>
      </c>
      <c r="G80" s="4">
        <v>2082214000</v>
      </c>
    </row>
    <row r="81" spans="2:7" x14ac:dyDescent="0.2">
      <c r="B81" s="2" t="s">
        <v>188</v>
      </c>
      <c r="C81" s="4" t="s">
        <v>213</v>
      </c>
      <c r="D81" s="4">
        <v>1240</v>
      </c>
      <c r="E81" s="4" t="s">
        <v>44</v>
      </c>
      <c r="F81" s="22">
        <v>4130000</v>
      </c>
      <c r="G81" s="4">
        <v>2082110000</v>
      </c>
    </row>
    <row r="82" spans="2:7" x14ac:dyDescent="0.2">
      <c r="B82" s="2" t="s">
        <v>154</v>
      </c>
      <c r="C82" s="4" t="s">
        <v>89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155</v>
      </c>
      <c r="C83" s="4" t="s">
        <v>90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189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156</v>
      </c>
      <c r="C85" s="4" t="s">
        <v>91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190</v>
      </c>
      <c r="C86" s="20" t="s">
        <v>64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56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214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6">
        <v>-616462.01899999997</v>
      </c>
      <c r="G5" s="4">
        <v>2001110000</v>
      </c>
    </row>
    <row r="6" spans="2:7" x14ac:dyDescent="0.2">
      <c r="B6" s="2" t="s">
        <v>102</v>
      </c>
      <c r="C6" s="2" t="s">
        <v>65</v>
      </c>
      <c r="D6" s="4">
        <v>111111</v>
      </c>
      <c r="E6" s="2" t="s">
        <v>211</v>
      </c>
      <c r="F6" s="18">
        <v>-14431341</v>
      </c>
      <c r="G6" s="14">
        <v>2001110000</v>
      </c>
    </row>
    <row r="7" spans="2:7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-6373617.5140000004</v>
      </c>
      <c r="G7" s="4">
        <v>2001190000</v>
      </c>
    </row>
    <row r="8" spans="2:7" x14ac:dyDescent="0.2">
      <c r="B8" s="2" t="s">
        <v>160</v>
      </c>
      <c r="C8" s="4" t="s">
        <v>215</v>
      </c>
      <c r="D8" s="4">
        <v>111111</v>
      </c>
      <c r="E8" s="4" t="s">
        <v>211</v>
      </c>
      <c r="F8" s="22">
        <v>20504.509999999998</v>
      </c>
      <c r="G8" s="4">
        <v>2021210000</v>
      </c>
    </row>
    <row r="9" spans="2:7" x14ac:dyDescent="0.2">
      <c r="B9" s="2" t="s">
        <v>108</v>
      </c>
      <c r="C9" s="4" t="s">
        <v>228</v>
      </c>
      <c r="D9" s="4">
        <v>111111</v>
      </c>
      <c r="E9" s="4" t="s">
        <v>211</v>
      </c>
      <c r="F9" s="22">
        <v>5674152.0669999998</v>
      </c>
      <c r="G9" s="4">
        <v>2021900000</v>
      </c>
    </row>
    <row r="10" spans="2:7" x14ac:dyDescent="0.2">
      <c r="B10" s="2" t="s">
        <v>191</v>
      </c>
      <c r="C10" s="4" t="s">
        <v>24</v>
      </c>
      <c r="D10" s="4">
        <v>111111</v>
      </c>
      <c r="E10" s="4" t="s">
        <v>211</v>
      </c>
      <c r="F10" s="22">
        <v>13691.949999999999</v>
      </c>
      <c r="G10" s="4">
        <v>2024020000</v>
      </c>
    </row>
    <row r="11" spans="2:7" x14ac:dyDescent="0.2">
      <c r="B11" s="2" t="s">
        <v>109</v>
      </c>
      <c r="C11" s="4" t="s">
        <v>69</v>
      </c>
      <c r="D11" s="4">
        <v>111111</v>
      </c>
      <c r="E11" s="4" t="s">
        <v>211</v>
      </c>
      <c r="F11" s="22">
        <v>350370.99399999995</v>
      </c>
      <c r="G11" s="4">
        <v>2024080000</v>
      </c>
    </row>
    <row r="12" spans="2:7" x14ac:dyDescent="0.2">
      <c r="B12" s="2" t="s">
        <v>110</v>
      </c>
      <c r="C12" s="4" t="s">
        <v>68</v>
      </c>
      <c r="D12" s="4">
        <v>88</v>
      </c>
      <c r="E12" s="4" t="s">
        <v>32</v>
      </c>
      <c r="F12" s="22">
        <v>3116017.1540000001</v>
      </c>
      <c r="G12" s="4">
        <v>2024090000</v>
      </c>
    </row>
    <row r="13" spans="2:7" x14ac:dyDescent="0.2">
      <c r="B13" s="2" t="s">
        <v>162</v>
      </c>
      <c r="C13" s="4" t="s">
        <v>68</v>
      </c>
      <c r="D13" s="4" t="s">
        <v>11</v>
      </c>
      <c r="E13" s="4" t="s">
        <v>34</v>
      </c>
      <c r="F13" s="22">
        <v>0</v>
      </c>
      <c r="G13" s="4">
        <v>2024090000</v>
      </c>
    </row>
    <row r="14" spans="2:7" x14ac:dyDescent="0.2">
      <c r="B14" s="2" t="s">
        <v>163</v>
      </c>
      <c r="C14" s="4" t="s">
        <v>68</v>
      </c>
      <c r="D14" s="4" t="s">
        <v>12</v>
      </c>
      <c r="E14" s="4" t="s">
        <v>36</v>
      </c>
      <c r="F14" s="22">
        <v>673.34299999999985</v>
      </c>
      <c r="G14" s="4">
        <v>2024090000</v>
      </c>
    </row>
    <row r="15" spans="2:7" x14ac:dyDescent="0.2">
      <c r="B15" s="2" t="s">
        <v>192</v>
      </c>
      <c r="C15" s="4" t="s">
        <v>68</v>
      </c>
      <c r="D15" s="4" t="s">
        <v>25</v>
      </c>
      <c r="E15" s="4" t="s">
        <v>48</v>
      </c>
      <c r="F15" s="22">
        <v>192017.14499999996</v>
      </c>
      <c r="G15" s="4">
        <v>2024090000</v>
      </c>
    </row>
    <row r="16" spans="2:7" x14ac:dyDescent="0.2">
      <c r="B16" s="2" t="s">
        <v>193</v>
      </c>
      <c r="C16" s="4" t="s">
        <v>68</v>
      </c>
      <c r="D16" s="4" t="s">
        <v>6</v>
      </c>
      <c r="E16" s="4" t="s">
        <v>43</v>
      </c>
      <c r="F16" s="22">
        <v>375290.46599999996</v>
      </c>
      <c r="G16" s="4">
        <v>2024090000</v>
      </c>
    </row>
    <row r="17" spans="2:7" x14ac:dyDescent="0.2">
      <c r="B17" s="2" t="s">
        <v>194</v>
      </c>
      <c r="C17" s="4" t="s">
        <v>68</v>
      </c>
      <c r="D17" s="4">
        <v>17000</v>
      </c>
      <c r="E17" s="4" t="s">
        <v>50</v>
      </c>
      <c r="F17" s="22">
        <v>4920</v>
      </c>
      <c r="G17" s="4">
        <v>2024090000</v>
      </c>
    </row>
    <row r="18" spans="2:7" x14ac:dyDescent="0.2">
      <c r="B18" s="2" t="s">
        <v>111</v>
      </c>
      <c r="C18" s="4" t="s">
        <v>68</v>
      </c>
      <c r="D18" s="4">
        <v>111111</v>
      </c>
      <c r="E18" s="4" t="s">
        <v>211</v>
      </c>
      <c r="F18" s="22">
        <v>9783.7069999999985</v>
      </c>
      <c r="G18" s="4">
        <v>2024090000</v>
      </c>
    </row>
    <row r="19" spans="2:7" x14ac:dyDescent="0.2">
      <c r="B19" s="2" t="s">
        <v>112</v>
      </c>
      <c r="C19" s="4" t="s">
        <v>1</v>
      </c>
      <c r="D19" s="4">
        <v>111111</v>
      </c>
      <c r="E19" s="4" t="s">
        <v>211</v>
      </c>
      <c r="F19" s="22">
        <v>3982699.5329999998</v>
      </c>
      <c r="G19" s="4">
        <v>2041000000</v>
      </c>
    </row>
    <row r="20" spans="2:7" x14ac:dyDescent="0.2">
      <c r="B20" s="2" t="s">
        <v>113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113</v>
      </c>
      <c r="C21" s="4" t="s">
        <v>70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114</v>
      </c>
      <c r="C22" s="4" t="s">
        <v>71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115</v>
      </c>
      <c r="C23" s="4" t="s">
        <v>72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116</v>
      </c>
      <c r="C24" s="4" t="s">
        <v>72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195</v>
      </c>
      <c r="C25" s="4" t="s">
        <v>21</v>
      </c>
      <c r="D25" s="4" t="s">
        <v>19</v>
      </c>
      <c r="E25" s="4" t="s">
        <v>55</v>
      </c>
      <c r="F25" s="22">
        <v>0</v>
      </c>
      <c r="G25" s="4">
        <v>2060441000</v>
      </c>
    </row>
    <row r="26" spans="2:7" x14ac:dyDescent="0.2">
      <c r="B26" s="2" t="s">
        <v>196</v>
      </c>
      <c r="C26" s="4" t="s">
        <v>21</v>
      </c>
      <c r="D26" s="4">
        <v>111111</v>
      </c>
      <c r="E26" s="4" t="s">
        <v>211</v>
      </c>
      <c r="F26" s="22">
        <v>-1252.8369999999998</v>
      </c>
      <c r="G26" s="4">
        <v>2060441000</v>
      </c>
    </row>
    <row r="27" spans="2:7" x14ac:dyDescent="0.2">
      <c r="B27" s="2" t="s">
        <v>117</v>
      </c>
      <c r="C27" s="4" t="s">
        <v>73</v>
      </c>
      <c r="D27" s="4" t="s">
        <v>3</v>
      </c>
      <c r="E27" s="4" t="s">
        <v>40</v>
      </c>
      <c r="F27" s="22">
        <v>-1418521.358</v>
      </c>
      <c r="G27" s="4">
        <v>2069010000</v>
      </c>
    </row>
    <row r="28" spans="2:7" x14ac:dyDescent="0.2">
      <c r="B28" s="2" t="s">
        <v>167</v>
      </c>
      <c r="C28" s="4" t="s">
        <v>73</v>
      </c>
      <c r="D28" s="4">
        <v>19</v>
      </c>
      <c r="E28" s="4" t="s">
        <v>41</v>
      </c>
      <c r="F28" s="22">
        <v>-622966.38600000006</v>
      </c>
      <c r="G28" s="4">
        <v>2069010000</v>
      </c>
    </row>
    <row r="29" spans="2:7" x14ac:dyDescent="0.2">
      <c r="B29" s="2" t="s">
        <v>168</v>
      </c>
      <c r="C29" s="4" t="s">
        <v>73</v>
      </c>
      <c r="D29" s="4" t="s">
        <v>16</v>
      </c>
      <c r="E29" s="4" t="s">
        <v>51</v>
      </c>
      <c r="F29" s="22">
        <v>0</v>
      </c>
      <c r="G29" s="4">
        <v>2069010000</v>
      </c>
    </row>
    <row r="30" spans="2:7" x14ac:dyDescent="0.2">
      <c r="B30" s="2" t="s">
        <v>169</v>
      </c>
      <c r="C30" s="4" t="s">
        <v>73</v>
      </c>
      <c r="D30" s="4" t="s">
        <v>10</v>
      </c>
      <c r="E30" s="4" t="s">
        <v>47</v>
      </c>
      <c r="F30" s="22">
        <v>0</v>
      </c>
      <c r="G30" s="4">
        <v>2069010000</v>
      </c>
    </row>
    <row r="31" spans="2:7" x14ac:dyDescent="0.2">
      <c r="B31" s="2" t="s">
        <v>121</v>
      </c>
      <c r="C31" s="4" t="s">
        <v>73</v>
      </c>
      <c r="D31" s="4">
        <v>1009</v>
      </c>
      <c r="E31" s="4" t="s">
        <v>35</v>
      </c>
      <c r="F31" s="22">
        <v>0</v>
      </c>
      <c r="G31" s="4">
        <v>2069010000</v>
      </c>
    </row>
    <row r="32" spans="2:7" x14ac:dyDescent="0.2">
      <c r="B32" s="2" t="s">
        <v>122</v>
      </c>
      <c r="C32" s="4" t="s">
        <v>73</v>
      </c>
      <c r="D32" s="4">
        <v>1007</v>
      </c>
      <c r="E32" s="4" t="s">
        <v>37</v>
      </c>
      <c r="F32" s="22">
        <v>0</v>
      </c>
      <c r="G32" s="4">
        <v>2069010000</v>
      </c>
    </row>
    <row r="33" spans="2:7" x14ac:dyDescent="0.2">
      <c r="B33" s="2" t="s">
        <v>123</v>
      </c>
      <c r="C33" s="4" t="s">
        <v>73</v>
      </c>
      <c r="D33" s="4">
        <v>1008</v>
      </c>
      <c r="E33" s="4" t="s">
        <v>39</v>
      </c>
      <c r="F33" s="22">
        <v>0</v>
      </c>
      <c r="G33" s="4">
        <v>2069010000</v>
      </c>
    </row>
    <row r="34" spans="2:7" x14ac:dyDescent="0.2">
      <c r="B34" s="2" t="s">
        <v>124</v>
      </c>
      <c r="C34" s="4" t="s">
        <v>73</v>
      </c>
      <c r="D34" s="4">
        <v>1240</v>
      </c>
      <c r="E34" s="4" t="s">
        <v>44</v>
      </c>
      <c r="F34" s="22">
        <v>0</v>
      </c>
      <c r="G34" s="4">
        <v>2069010000</v>
      </c>
    </row>
    <row r="35" spans="2:7" x14ac:dyDescent="0.2">
      <c r="B35" s="2" t="s">
        <v>197</v>
      </c>
      <c r="C35" s="4" t="s">
        <v>73</v>
      </c>
      <c r="D35" s="4">
        <v>1006</v>
      </c>
      <c r="E35" s="4" t="s">
        <v>54</v>
      </c>
      <c r="F35" s="22">
        <v>0</v>
      </c>
      <c r="G35" s="4">
        <v>2069010000</v>
      </c>
    </row>
    <row r="36" spans="2:7" x14ac:dyDescent="0.2">
      <c r="B36" s="2" t="s">
        <v>122</v>
      </c>
      <c r="C36" s="4" t="s">
        <v>73</v>
      </c>
      <c r="D36" s="4">
        <v>1007</v>
      </c>
      <c r="E36" s="4" t="s">
        <v>38</v>
      </c>
      <c r="F36" s="22">
        <v>0</v>
      </c>
      <c r="G36" s="4">
        <v>2069010000</v>
      </c>
    </row>
    <row r="37" spans="2:7" x14ac:dyDescent="0.2">
      <c r="B37" s="2" t="s">
        <v>170</v>
      </c>
      <c r="C37" s="4" t="s">
        <v>73</v>
      </c>
      <c r="D37" s="4" t="s">
        <v>17</v>
      </c>
      <c r="E37" s="4" t="s">
        <v>52</v>
      </c>
      <c r="F37" s="22">
        <v>-1948832.1429999999</v>
      </c>
      <c r="G37" s="4">
        <v>2069010000</v>
      </c>
    </row>
    <row r="38" spans="2:7" x14ac:dyDescent="0.2">
      <c r="B38" s="2" t="s">
        <v>125</v>
      </c>
      <c r="C38" s="4" t="s">
        <v>73</v>
      </c>
      <c r="D38" s="4">
        <v>111111</v>
      </c>
      <c r="E38" s="4" t="s">
        <v>211</v>
      </c>
      <c r="F38" s="22">
        <v>-902857.84299999999</v>
      </c>
      <c r="G38" s="4">
        <v>2069010000</v>
      </c>
    </row>
    <row r="39" spans="2:7" x14ac:dyDescent="0.2">
      <c r="B39" s="2" t="s">
        <v>198</v>
      </c>
      <c r="C39" s="4" t="s">
        <v>26</v>
      </c>
      <c r="D39" s="4">
        <v>111111</v>
      </c>
      <c r="E39" s="4" t="s">
        <v>211</v>
      </c>
      <c r="F39" s="22">
        <v>-61499.999999999993</v>
      </c>
      <c r="G39" s="4">
        <v>2069020000</v>
      </c>
    </row>
    <row r="40" spans="2:7" x14ac:dyDescent="0.2">
      <c r="B40" s="2" t="s">
        <v>199</v>
      </c>
      <c r="C40" s="4" t="s">
        <v>74</v>
      </c>
      <c r="D40" s="4">
        <v>105</v>
      </c>
      <c r="E40" s="4" t="s">
        <v>33</v>
      </c>
      <c r="F40" s="22">
        <v>-30913.425999999996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-15872.001999999999</v>
      </c>
      <c r="G41" s="4">
        <v>2069980000</v>
      </c>
    </row>
    <row r="42" spans="2:7" x14ac:dyDescent="0.2">
      <c r="B42" s="2" t="s">
        <v>127</v>
      </c>
      <c r="C42" s="4" t="s">
        <v>75</v>
      </c>
      <c r="D42" s="4">
        <v>111111</v>
      </c>
      <c r="E42" s="4" t="s">
        <v>211</v>
      </c>
      <c r="F42" s="22">
        <v>57.317999999999998</v>
      </c>
      <c r="G42" s="4">
        <v>2070400000</v>
      </c>
    </row>
    <row r="43" spans="2:7" x14ac:dyDescent="0.2">
      <c r="B43" s="2" t="s">
        <v>129</v>
      </c>
      <c r="C43" s="4" t="s">
        <v>76</v>
      </c>
      <c r="D43" s="4">
        <v>111111</v>
      </c>
      <c r="E43" s="4" t="s">
        <v>211</v>
      </c>
      <c r="F43" s="22">
        <v>19198.66</v>
      </c>
      <c r="G43" s="4">
        <v>2070500000</v>
      </c>
    </row>
    <row r="44" spans="2:7" x14ac:dyDescent="0.2">
      <c r="B44" s="2" t="s">
        <v>200</v>
      </c>
      <c r="C44" s="4" t="s">
        <v>77</v>
      </c>
      <c r="D44" s="4">
        <v>105</v>
      </c>
      <c r="E44" s="4" t="s">
        <v>33</v>
      </c>
      <c r="F44" s="22">
        <v>-1423120</v>
      </c>
      <c r="G44" s="4">
        <v>2070600000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-172933.44899999999</v>
      </c>
      <c r="G45" s="4">
        <v>2070600000</v>
      </c>
    </row>
    <row r="46" spans="2:7" x14ac:dyDescent="0.2">
      <c r="B46" s="2" t="s">
        <v>173</v>
      </c>
      <c r="C46" s="4" t="s">
        <v>78</v>
      </c>
      <c r="D46" s="4">
        <v>105</v>
      </c>
      <c r="E46" s="4" t="s">
        <v>33</v>
      </c>
      <c r="F46" s="22">
        <v>473575.46100000001</v>
      </c>
      <c r="G46" s="4">
        <v>2070900000</v>
      </c>
    </row>
    <row r="47" spans="2:7" x14ac:dyDescent="0.2">
      <c r="B47" s="2" t="s">
        <v>133</v>
      </c>
      <c r="C47" s="4" t="s">
        <v>78</v>
      </c>
      <c r="D47" s="4">
        <v>111111</v>
      </c>
      <c r="E47" s="4" t="s">
        <v>211</v>
      </c>
      <c r="F47" s="22">
        <v>1481408.47</v>
      </c>
      <c r="G47" s="4">
        <v>2070900000</v>
      </c>
    </row>
    <row r="48" spans="2:7" x14ac:dyDescent="0.2">
      <c r="B48" s="2" t="s">
        <v>134</v>
      </c>
      <c r="C48" s="4" t="s">
        <v>7</v>
      </c>
      <c r="D48" s="4">
        <v>111111</v>
      </c>
      <c r="E48" s="4" t="s">
        <v>211</v>
      </c>
      <c r="F48" s="22">
        <v>40048.799999999996</v>
      </c>
      <c r="G48" s="4">
        <v>2071000000</v>
      </c>
    </row>
    <row r="49" spans="2:7" x14ac:dyDescent="0.2">
      <c r="B49" s="2" t="s">
        <v>201</v>
      </c>
      <c r="C49" s="4" t="s">
        <v>79</v>
      </c>
      <c r="D49" s="4">
        <v>88</v>
      </c>
      <c r="E49" s="4" t="s">
        <v>32</v>
      </c>
      <c r="F49" s="22">
        <v>584.66</v>
      </c>
      <c r="G49" s="4">
        <v>2071100000</v>
      </c>
    </row>
    <row r="50" spans="2:7" x14ac:dyDescent="0.2">
      <c r="B50" s="2" t="s">
        <v>135</v>
      </c>
      <c r="C50" s="4" t="s">
        <v>79</v>
      </c>
      <c r="D50" s="4">
        <v>111111</v>
      </c>
      <c r="E50" s="4" t="s">
        <v>211</v>
      </c>
      <c r="F50" s="22">
        <v>64039.82699999999</v>
      </c>
      <c r="G50" s="4">
        <v>2071100000</v>
      </c>
    </row>
    <row r="51" spans="2:7" x14ac:dyDescent="0.2">
      <c r="B51" s="2" t="s">
        <v>202</v>
      </c>
      <c r="C51" s="4" t="s">
        <v>27</v>
      </c>
      <c r="D51" s="4">
        <v>111111</v>
      </c>
      <c r="E51" s="4" t="s">
        <v>211</v>
      </c>
      <c r="F51" s="22">
        <v>1352.9999999999998</v>
      </c>
      <c r="G51" s="4">
        <v>2071209100</v>
      </c>
    </row>
    <row r="52" spans="2:7" x14ac:dyDescent="0.2">
      <c r="B52" s="2" t="s">
        <v>136</v>
      </c>
      <c r="C52" s="4" t="s">
        <v>8</v>
      </c>
      <c r="D52" s="4">
        <v>111111</v>
      </c>
      <c r="E52" s="4" t="s">
        <v>211</v>
      </c>
      <c r="F52" s="22">
        <v>2514431.8869999996</v>
      </c>
      <c r="G52" s="4">
        <v>2071209200</v>
      </c>
    </row>
    <row r="53" spans="2:7" x14ac:dyDescent="0.2">
      <c r="B53" s="2" t="s">
        <v>137</v>
      </c>
      <c r="C53" s="4" t="s">
        <v>80</v>
      </c>
      <c r="D53" s="4">
        <v>111111</v>
      </c>
      <c r="E53" s="4" t="s">
        <v>211</v>
      </c>
      <c r="F53" s="22">
        <v>4194.2999999999993</v>
      </c>
      <c r="G53" s="4">
        <v>2071209400</v>
      </c>
    </row>
    <row r="54" spans="2:7" x14ac:dyDescent="0.2">
      <c r="B54" s="2" t="s">
        <v>138</v>
      </c>
      <c r="C54" s="4" t="s">
        <v>81</v>
      </c>
      <c r="D54" s="4">
        <v>111111</v>
      </c>
      <c r="E54" s="4" t="s">
        <v>211</v>
      </c>
      <c r="F54" s="22">
        <v>106525.708</v>
      </c>
      <c r="G54" s="4">
        <v>2071209500</v>
      </c>
    </row>
    <row r="55" spans="2:7" x14ac:dyDescent="0.2">
      <c r="B55" s="2" t="s">
        <v>139</v>
      </c>
      <c r="C55" s="4" t="s">
        <v>82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140</v>
      </c>
      <c r="C56" s="4" t="s">
        <v>83</v>
      </c>
      <c r="D56" s="4">
        <v>111111</v>
      </c>
      <c r="E56" s="4" t="s">
        <v>211</v>
      </c>
      <c r="F56" s="22">
        <v>61111.483999999997</v>
      </c>
      <c r="G56" s="4">
        <v>2079022000</v>
      </c>
    </row>
    <row r="57" spans="2:7" x14ac:dyDescent="0.2">
      <c r="B57" s="2" t="s">
        <v>182</v>
      </c>
      <c r="C57" s="4" t="s">
        <v>84</v>
      </c>
      <c r="D57" s="4" t="s">
        <v>12</v>
      </c>
      <c r="E57" s="4" t="s">
        <v>36</v>
      </c>
      <c r="F57" s="22">
        <v>0</v>
      </c>
      <c r="G57" s="4">
        <v>2079070000</v>
      </c>
    </row>
    <row r="58" spans="2:7" x14ac:dyDescent="0.2">
      <c r="B58" s="2" t="s">
        <v>141</v>
      </c>
      <c r="C58" s="4" t="s">
        <v>84</v>
      </c>
      <c r="D58" s="4">
        <v>105</v>
      </c>
      <c r="E58" s="4" t="s">
        <v>33</v>
      </c>
      <c r="F58" s="22">
        <v>1684415.2999999998</v>
      </c>
      <c r="G58" s="4">
        <v>2079070000</v>
      </c>
    </row>
    <row r="59" spans="2:7" x14ac:dyDescent="0.2">
      <c r="B59" s="2" t="s">
        <v>142</v>
      </c>
      <c r="C59" s="4" t="s">
        <v>84</v>
      </c>
      <c r="D59" s="4">
        <v>111111</v>
      </c>
      <c r="E59" s="4" t="s">
        <v>211</v>
      </c>
      <c r="F59" s="22">
        <v>575626.2649999999</v>
      </c>
      <c r="G59" s="4">
        <v>2079070000</v>
      </c>
    </row>
    <row r="60" spans="2:7" x14ac:dyDescent="0.2">
      <c r="B60" s="2" t="s">
        <v>183</v>
      </c>
      <c r="C60" s="4" t="s">
        <v>85</v>
      </c>
      <c r="D60" s="4" t="s">
        <v>10</v>
      </c>
      <c r="E60" s="4" t="s">
        <v>47</v>
      </c>
      <c r="F60" s="22">
        <v>0</v>
      </c>
      <c r="G60" s="4">
        <v>2079080000</v>
      </c>
    </row>
    <row r="61" spans="2:7" x14ac:dyDescent="0.2">
      <c r="B61" s="2" t="s">
        <v>144</v>
      </c>
      <c r="C61" s="4" t="s">
        <v>85</v>
      </c>
      <c r="D61" s="4">
        <v>1007</v>
      </c>
      <c r="E61" s="4" t="s">
        <v>38</v>
      </c>
      <c r="F61" s="22">
        <v>0</v>
      </c>
      <c r="G61" s="4">
        <v>2079080000</v>
      </c>
    </row>
    <row r="62" spans="2:7" x14ac:dyDescent="0.2">
      <c r="B62" s="2" t="s">
        <v>184</v>
      </c>
      <c r="C62" s="4" t="s">
        <v>86</v>
      </c>
      <c r="D62" s="4" t="s">
        <v>10</v>
      </c>
      <c r="E62" s="4" t="s">
        <v>47</v>
      </c>
      <c r="F62" s="22">
        <v>0</v>
      </c>
      <c r="G62" s="4">
        <v>2082280000</v>
      </c>
    </row>
    <row r="63" spans="2:7" x14ac:dyDescent="0.2">
      <c r="B63" s="2" t="s">
        <v>146</v>
      </c>
      <c r="C63" s="4" t="s">
        <v>86</v>
      </c>
      <c r="D63" s="4">
        <v>1009</v>
      </c>
      <c r="E63" s="4" t="s">
        <v>35</v>
      </c>
      <c r="F63" s="22">
        <v>0</v>
      </c>
      <c r="G63" s="4">
        <v>2082280000</v>
      </c>
    </row>
    <row r="64" spans="2:7" x14ac:dyDescent="0.2">
      <c r="B64" s="2" t="s">
        <v>147</v>
      </c>
      <c r="C64" s="4" t="s">
        <v>86</v>
      </c>
      <c r="D64" s="4">
        <v>1007</v>
      </c>
      <c r="E64" s="4" t="s">
        <v>37</v>
      </c>
      <c r="F64" s="22">
        <v>0</v>
      </c>
      <c r="G64" s="4">
        <v>2082280000</v>
      </c>
    </row>
    <row r="65" spans="2:7" x14ac:dyDescent="0.2">
      <c r="B65" s="2" t="s">
        <v>148</v>
      </c>
      <c r="C65" s="4" t="s">
        <v>86</v>
      </c>
      <c r="D65" s="4">
        <v>1008</v>
      </c>
      <c r="E65" s="4" t="s">
        <v>39</v>
      </c>
      <c r="F65" s="22">
        <v>0</v>
      </c>
      <c r="G65" s="4">
        <v>2082280000</v>
      </c>
    </row>
    <row r="66" spans="2:7" x14ac:dyDescent="0.2">
      <c r="B66" s="2" t="s">
        <v>149</v>
      </c>
      <c r="C66" s="4" t="s">
        <v>86</v>
      </c>
      <c r="D66" s="4">
        <v>1240</v>
      </c>
      <c r="E66" s="4" t="s">
        <v>44</v>
      </c>
      <c r="F66" s="22">
        <v>0</v>
      </c>
      <c r="G66" s="4">
        <v>2082280000</v>
      </c>
    </row>
    <row r="67" spans="2:7" x14ac:dyDescent="0.2">
      <c r="B67" s="2" t="s">
        <v>185</v>
      </c>
      <c r="C67" s="4" t="s">
        <v>86</v>
      </c>
      <c r="D67" s="4">
        <v>1006</v>
      </c>
      <c r="E67" s="4" t="s">
        <v>54</v>
      </c>
      <c r="F67" s="22">
        <v>0</v>
      </c>
      <c r="G67" s="4">
        <v>2082280000</v>
      </c>
    </row>
    <row r="68" spans="2:7" x14ac:dyDescent="0.2">
      <c r="B68" s="2" t="s">
        <v>150</v>
      </c>
      <c r="C68" s="4" t="s">
        <v>86</v>
      </c>
      <c r="D68" s="4">
        <v>111111</v>
      </c>
      <c r="E68" s="4" t="s">
        <v>211</v>
      </c>
      <c r="F68" s="22">
        <v>-73809.511999999988</v>
      </c>
      <c r="G68" s="4">
        <v>2082280000</v>
      </c>
    </row>
    <row r="69" spans="2:7" x14ac:dyDescent="0.2">
      <c r="B69" s="2" t="s">
        <v>152</v>
      </c>
      <c r="C69" s="4" t="s">
        <v>87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153</v>
      </c>
      <c r="C70" s="4" t="s">
        <v>88</v>
      </c>
      <c r="D70" s="4">
        <v>88</v>
      </c>
      <c r="E70" s="4" t="s">
        <v>32</v>
      </c>
      <c r="F70" s="22">
        <v>2324465.8859999999</v>
      </c>
      <c r="G70" s="4">
        <v>2082214000</v>
      </c>
    </row>
    <row r="71" spans="2:7" x14ac:dyDescent="0.2">
      <c r="B71" s="2" t="s">
        <v>186</v>
      </c>
      <c r="C71" s="4" t="s">
        <v>88</v>
      </c>
      <c r="D71" s="4">
        <v>1007</v>
      </c>
      <c r="E71" s="4" t="s">
        <v>38</v>
      </c>
      <c r="F71" s="22">
        <v>0</v>
      </c>
      <c r="G71" s="4">
        <v>2082214000</v>
      </c>
    </row>
    <row r="72" spans="2:7" x14ac:dyDescent="0.2">
      <c r="B72" s="2" t="s">
        <v>187</v>
      </c>
      <c r="C72" s="4" t="s">
        <v>88</v>
      </c>
      <c r="D72" s="4">
        <v>111111</v>
      </c>
      <c r="E72" s="4" t="s">
        <v>211</v>
      </c>
      <c r="F72" s="22">
        <v>51.454999999999998</v>
      </c>
      <c r="G72" s="4">
        <v>2082214000</v>
      </c>
    </row>
    <row r="73" spans="2:7" x14ac:dyDescent="0.2">
      <c r="B73" s="2" t="s">
        <v>203</v>
      </c>
      <c r="C73" s="4" t="s">
        <v>213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154</v>
      </c>
      <c r="C74" s="4" t="s">
        <v>89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155</v>
      </c>
      <c r="C75" s="4" t="s">
        <v>90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156</v>
      </c>
      <c r="C76" s="4" t="s">
        <v>91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204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190</v>
      </c>
      <c r="C78" s="20" t="s">
        <v>64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94</v>
      </c>
    </row>
    <row r="3" spans="2:11" ht="12.75" thickBot="1" x14ac:dyDescent="0.25">
      <c r="B3" s="15" t="s">
        <v>100</v>
      </c>
      <c r="C3" s="27" t="s">
        <v>205</v>
      </c>
      <c r="D3" s="27" t="s">
        <v>31</v>
      </c>
      <c r="E3" s="27" t="s">
        <v>206</v>
      </c>
      <c r="F3" s="16" t="s">
        <v>207</v>
      </c>
      <c r="G3" s="16" t="s">
        <v>208</v>
      </c>
      <c r="H3" s="16" t="s">
        <v>209</v>
      </c>
      <c r="J3" s="16" t="s">
        <v>227</v>
      </c>
    </row>
    <row r="4" spans="2:11" x14ac:dyDescent="0.2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7">
        <f>-SUMIF('1.1 FY2011'!$B:$B,'2.1 Database'!B4,'1.1 FY2011'!$F:$F)</f>
        <v>14500341</v>
      </c>
      <c r="G4" s="17">
        <f>-SUMIF('1.2 FY2012'!$B:$B,'2.1 Database'!B4,'1.2 FY2012'!$F:$F)</f>
        <v>15792898.75</v>
      </c>
      <c r="H4" s="17">
        <f>-SUMIF('1.3 FY2013'!$B:$B,'2.1 Database'!B4,'1.3 FY2013'!$F:$F)</f>
        <v>14431341</v>
      </c>
      <c r="J4" s="35" t="s">
        <v>217</v>
      </c>
      <c r="K4" s="2">
        <f>+COUNTIF('2.2 P&amp;L statement'!$B$4:$B$24,'2.1 Database'!J4)</f>
        <v>1</v>
      </c>
    </row>
    <row r="5" spans="2:11" x14ac:dyDescent="0.2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7">
        <f>-SUMIF('1.1 FY2011'!$B:$B,'2.1 Database'!B5,'1.1 FY2011'!$F:$F)</f>
        <v>4794856.1919999998</v>
      </c>
      <c r="G5" s="17">
        <f>-SUMIF('1.2 FY2012'!$B:$B,'2.1 Database'!B5,'1.2 FY2012'!$F:$F)</f>
        <v>6960217.6449999996</v>
      </c>
      <c r="H5" s="17">
        <f>-SUMIF('1.3 FY2013'!$B:$B,'2.1 Database'!B5,'1.3 FY2013'!$F:$F)</f>
        <v>6373617.5140000004</v>
      </c>
      <c r="J5" s="35" t="s">
        <v>66</v>
      </c>
      <c r="K5" s="2">
        <f>+COUNTIF('2.2 P&amp;L statement'!$B$4:$B$24,'2.1 Database'!J5)</f>
        <v>1</v>
      </c>
    </row>
    <row r="6" spans="2:11" x14ac:dyDescent="0.2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7">
        <f>-SUMIF('1.1 FY2011'!$B:$B,'2.1 Database'!B6,'1.1 FY2011'!$F:$F)</f>
        <v>154890.4</v>
      </c>
      <c r="G6" s="17">
        <f>-SUMIF('1.2 FY2012'!$B:$B,'2.1 Database'!B6,'1.2 FY2012'!$F:$F)</f>
        <v>0</v>
      </c>
      <c r="H6" s="17">
        <f>-SUMIF('1.3 FY2013'!$B:$B,'2.1 Database'!B6,'1.3 FY2013'!$F:$F)</f>
        <v>0</v>
      </c>
      <c r="J6" s="35" t="s">
        <v>67</v>
      </c>
      <c r="K6" s="2">
        <f>+COUNTIF('2.2 P&amp;L statement'!$B$4:$B$24,'2.1 Database'!J6)</f>
        <v>1</v>
      </c>
    </row>
    <row r="7" spans="2:11" x14ac:dyDescent="0.2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7">
        <f>-SUMIF('1.1 FY2011'!$B:$B,'2.1 Database'!B7,'1.1 FY2011'!$F:$F)</f>
        <v>1180894.0520000001</v>
      </c>
      <c r="G7" s="17">
        <f>-SUMIF('1.2 FY2012'!$B:$B,'2.1 Database'!B7,'1.2 FY2012'!$F:$F)</f>
        <v>89234.880000000005</v>
      </c>
      <c r="H7" s="17">
        <f>-SUMIF('1.3 FY2013'!$B:$B,'2.1 Database'!B7,'1.3 FY2013'!$F:$F)</f>
        <v>0</v>
      </c>
      <c r="J7" s="35" t="s">
        <v>67</v>
      </c>
      <c r="K7" s="2">
        <f>+COUNTIF('2.2 P&amp;L statement'!$B$4:$B$24,'2.1 Database'!J7)</f>
        <v>1</v>
      </c>
    </row>
    <row r="8" spans="2:11" x14ac:dyDescent="0.2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7">
        <f>-SUMIF('1.1 FY2011'!$B:$B,'2.1 Database'!B8,'1.1 FY2011'!$F:$F)</f>
        <v>793079.51199999999</v>
      </c>
      <c r="G8" s="17">
        <f>-SUMIF('1.2 FY2012'!$B:$B,'2.1 Database'!B8,'1.2 FY2012'!$F:$F)</f>
        <v>26173</v>
      </c>
      <c r="H8" s="17">
        <f>-SUMIF('1.3 FY2013'!$B:$B,'2.1 Database'!B8,'1.3 FY2013'!$F:$F)</f>
        <v>0</v>
      </c>
      <c r="J8" s="35" t="s">
        <v>67</v>
      </c>
      <c r="K8" s="2">
        <f>+COUNTIF('2.2 P&amp;L statement'!$B$4:$B$24,'2.1 Database'!J8)</f>
        <v>1</v>
      </c>
    </row>
    <row r="9" spans="2:11" x14ac:dyDescent="0.2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7">
        <f>-SUMIF('1.1 FY2011'!$B:$B,'2.1 Database'!B9,'1.1 FY2011'!$F:$F)</f>
        <v>2277197.6</v>
      </c>
      <c r="G9" s="17">
        <f>-SUMIF('1.2 FY2012'!$B:$B,'2.1 Database'!B9,'1.2 FY2012'!$F:$F)</f>
        <v>209401.92</v>
      </c>
      <c r="H9" s="17">
        <f>-SUMIF('1.3 FY2013'!$B:$B,'2.1 Database'!B9,'1.3 FY2013'!$F:$F)</f>
        <v>0</v>
      </c>
      <c r="J9" s="35" t="s">
        <v>67</v>
      </c>
      <c r="K9" s="2">
        <f>+COUNTIF('2.2 P&amp;L statement'!$B$4:$B$24,'2.1 Database'!J9)</f>
        <v>1</v>
      </c>
    </row>
    <row r="10" spans="2:11" x14ac:dyDescent="0.2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7">
        <f>-SUMIF('1.1 FY2011'!$B:$B,'2.1 Database'!B10,'1.1 FY2011'!$F:$F)</f>
        <v>-4428911.7640000004</v>
      </c>
      <c r="G10" s="17">
        <f>-SUMIF('1.2 FY2012'!$B:$B,'2.1 Database'!B10,'1.2 FY2012'!$F:$F)</f>
        <v>-5463188.8250000002</v>
      </c>
      <c r="H10" s="17">
        <f>-SUMIF('1.3 FY2013'!$B:$B,'2.1 Database'!B10,'1.3 FY2013'!$F:$F)</f>
        <v>-5674152.0669999998</v>
      </c>
      <c r="J10" s="35" t="s">
        <v>228</v>
      </c>
      <c r="K10" s="2">
        <f>+COUNTIF('2.2 P&amp;L statement'!$B$4:$B$24,'2.1 Database'!J10)</f>
        <v>1</v>
      </c>
    </row>
    <row r="11" spans="2:11" x14ac:dyDescent="0.2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7">
        <f>-SUMIF('1.1 FY2011'!$B:$B,'2.1 Database'!B11,'1.1 FY2011'!$F:$F)</f>
        <v>-16977.628000000001</v>
      </c>
      <c r="G11" s="17">
        <f>-SUMIF('1.2 FY2012'!$B:$B,'2.1 Database'!B11,'1.2 FY2012'!$F:$F)</f>
        <v>-343675</v>
      </c>
      <c r="H11" s="17">
        <f>-SUMIF('1.3 FY2013'!$B:$B,'2.1 Database'!B11,'1.3 FY2013'!$F:$F)</f>
        <v>-350370.99399999995</v>
      </c>
      <c r="J11" s="35" t="s">
        <v>231</v>
      </c>
      <c r="K11" s="2">
        <f>+COUNTIF('2.2 P&amp;L statement'!$B$4:$B$24,'2.1 Database'!J11)</f>
        <v>1</v>
      </c>
    </row>
    <row r="12" spans="2:11" x14ac:dyDescent="0.2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7">
        <f>-SUMIF('1.1 FY2011'!$B:$B,'2.1 Database'!B12,'1.1 FY2011'!$F:$F)</f>
        <v>-2245437.54</v>
      </c>
      <c r="G12" s="17">
        <f>-SUMIF('1.2 FY2012'!$B:$B,'2.1 Database'!B12,'1.2 FY2012'!$F:$F)</f>
        <v>-1980162.23</v>
      </c>
      <c r="H12" s="17">
        <f>-SUMIF('1.3 FY2013'!$B:$B,'2.1 Database'!B12,'1.3 FY2013'!$F:$F)</f>
        <v>-3116017.1540000001</v>
      </c>
      <c r="J12" s="35" t="s">
        <v>231</v>
      </c>
      <c r="K12" s="2">
        <f>+COUNTIF('2.2 P&amp;L statement'!$B$4:$B$24,'2.1 Database'!J12)</f>
        <v>1</v>
      </c>
    </row>
    <row r="13" spans="2:11" x14ac:dyDescent="0.2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7">
        <f>-SUMIF('1.1 FY2011'!$B:$B,'2.1 Database'!B13,'1.1 FY2011'!$F:$F)</f>
        <v>-16605.634000000002</v>
      </c>
      <c r="G13" s="17">
        <f>-SUMIF('1.2 FY2012'!$B:$B,'2.1 Database'!B13,'1.2 FY2012'!$F:$F)</f>
        <v>-27148.625</v>
      </c>
      <c r="H13" s="17">
        <f>-SUMIF('1.3 FY2013'!$B:$B,'2.1 Database'!B13,'1.3 FY2013'!$F:$F)</f>
        <v>-9783.7069999999985</v>
      </c>
      <c r="J13" s="35" t="s">
        <v>231</v>
      </c>
      <c r="K13" s="2">
        <f>+COUNTIF('2.2 P&amp;L statement'!$B$4:$B$24,'2.1 Database'!J13)</f>
        <v>1</v>
      </c>
    </row>
    <row r="14" spans="2:11" x14ac:dyDescent="0.2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7">
        <f>-SUMIF('1.1 FY2011'!$B:$B,'2.1 Database'!B14,'1.1 FY2011'!$F:$F)</f>
        <v>-4683394.0460000001</v>
      </c>
      <c r="G14" s="17">
        <f>-SUMIF('1.2 FY2012'!$B:$B,'2.1 Database'!B14,'1.2 FY2012'!$F:$F)</f>
        <v>-5507141.0549999997</v>
      </c>
      <c r="H14" s="17">
        <f>-SUMIF('1.3 FY2013'!$B:$B,'2.1 Database'!B14,'1.3 FY2013'!$F:$F)</f>
        <v>-3982699.5329999998</v>
      </c>
      <c r="J14" s="35" t="s">
        <v>218</v>
      </c>
      <c r="K14" s="2">
        <f>+COUNTIF('2.2 P&amp;L statement'!$B$4:$B$24,'2.1 Database'!J14)</f>
        <v>1</v>
      </c>
    </row>
    <row r="15" spans="2:11" x14ac:dyDescent="0.2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7">
        <f>-SUMIF('1.1 FY2011'!$B:$B,'2.1 Database'!B15,'1.1 FY2011'!$F:$F)</f>
        <v>-1143051.5760000001</v>
      </c>
      <c r="G15" s="17">
        <f>-SUMIF('1.2 FY2012'!$B:$B,'2.1 Database'!B15,'1.2 FY2012'!$F:$F)</f>
        <v>-2057298.04</v>
      </c>
      <c r="H15" s="17">
        <f>-SUMIF('1.3 FY2013'!$B:$B,'2.1 Database'!B15,'1.3 FY2013'!$F:$F)</f>
        <v>-1709688.6429999997</v>
      </c>
      <c r="J15" s="35" t="s">
        <v>218</v>
      </c>
      <c r="K15" s="2">
        <f>+COUNTIF('2.2 P&amp;L statement'!$B$4:$B$24,'2.1 Database'!J15)</f>
        <v>1</v>
      </c>
    </row>
    <row r="16" spans="2:11" x14ac:dyDescent="0.2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7">
        <f>-SUMIF('1.1 FY2011'!$B:$B,'2.1 Database'!B16,'1.1 FY2011'!$F:$F)</f>
        <v>-239379.61800000002</v>
      </c>
      <c r="G16" s="17">
        <f>-SUMIF('1.2 FY2012'!$B:$B,'2.1 Database'!B16,'1.2 FY2012'!$F:$F)</f>
        <v>0</v>
      </c>
      <c r="H16" s="17">
        <f>-SUMIF('1.3 FY2013'!$B:$B,'2.1 Database'!B16,'1.3 FY2013'!$F:$F)</f>
        <v>0</v>
      </c>
      <c r="J16" s="35" t="s">
        <v>218</v>
      </c>
      <c r="K16" s="2">
        <f>+COUNTIF('2.2 P&amp;L statement'!$B$4:$B$24,'2.1 Database'!J16)</f>
        <v>1</v>
      </c>
    </row>
    <row r="17" spans="2:11" x14ac:dyDescent="0.2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7">
        <f>-SUMIF('1.1 FY2011'!$B:$B,'2.1 Database'!B17,'1.1 FY2011'!$F:$F)</f>
        <v>-104913.8</v>
      </c>
      <c r="G17" s="17">
        <f>-SUMIF('1.2 FY2012'!$B:$B,'2.1 Database'!B17,'1.2 FY2012'!$F:$F)</f>
        <v>-500500</v>
      </c>
      <c r="H17" s="17">
        <f>-SUMIF('1.3 FY2013'!$B:$B,'2.1 Database'!B17,'1.3 FY2013'!$F:$F)</f>
        <v>-143500</v>
      </c>
      <c r="J17" s="35" t="s">
        <v>218</v>
      </c>
      <c r="K17" s="2">
        <f>+COUNTIF('2.2 P&amp;L statement'!$B$4:$B$24,'2.1 Database'!J17)</f>
        <v>1</v>
      </c>
    </row>
    <row r="18" spans="2:11" x14ac:dyDescent="0.2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7">
        <f>-SUMIF('1.1 FY2011'!$B:$B,'2.1 Database'!B18,'1.1 FY2011'!$F:$F)</f>
        <v>-2003262.2180000001</v>
      </c>
      <c r="G18" s="17">
        <f>-SUMIF('1.2 FY2012'!$B:$B,'2.1 Database'!B18,'1.2 FY2012'!$F:$F)</f>
        <v>-1897676.87</v>
      </c>
      <c r="H18" s="17">
        <f>-SUMIF('1.3 FY2013'!$B:$B,'2.1 Database'!B18,'1.3 FY2013'!$F:$F)</f>
        <v>-1875768.159</v>
      </c>
      <c r="J18" s="35" t="s">
        <v>72</v>
      </c>
      <c r="K18" s="2">
        <f>+COUNTIF('2.2 P&amp;L statement'!$B$4:$B$24,'2.1 Database'!J18)</f>
        <v>1</v>
      </c>
    </row>
    <row r="19" spans="2:11" x14ac:dyDescent="0.2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7">
        <f>-SUMIF('1.1 FY2011'!$B:$B,'2.1 Database'!B19,'1.1 FY2011'!$F:$F)</f>
        <v>-41981.296000000002</v>
      </c>
      <c r="G19" s="17">
        <f>-SUMIF('1.2 FY2012'!$B:$B,'2.1 Database'!B19,'1.2 FY2012'!$F:$F)</f>
        <v>-146328.94499999998</v>
      </c>
      <c r="H19" s="17">
        <f>-SUMIF('1.3 FY2013'!$B:$B,'2.1 Database'!B19,'1.3 FY2013'!$F:$F)</f>
        <v>-12593.355</v>
      </c>
      <c r="J19" s="35" t="s">
        <v>72</v>
      </c>
      <c r="K19" s="2">
        <f>+COUNTIF('2.2 P&amp;L statement'!$B$4:$B$24,'2.1 Database'!J19)</f>
        <v>1</v>
      </c>
    </row>
    <row r="20" spans="2:11" x14ac:dyDescent="0.2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7">
        <f>-SUMIF('1.1 FY2011'!$B:$B,'2.1 Database'!B20,'1.1 FY2011'!$F:$F)</f>
        <v>2156147.4</v>
      </c>
      <c r="G20" s="17">
        <f>-SUMIF('1.2 FY2012'!$B:$B,'2.1 Database'!B20,'1.2 FY2012'!$F:$F)</f>
        <v>1643711.145</v>
      </c>
      <c r="H20" s="17">
        <f>-SUMIF('1.3 FY2013'!$B:$B,'2.1 Database'!B20,'1.3 FY2013'!$F:$F)</f>
        <v>1418521.358</v>
      </c>
      <c r="J20" s="35" t="s">
        <v>219</v>
      </c>
      <c r="K20" s="2">
        <f>+COUNTIF('2.2 P&amp;L statement'!$B$4:$B$24,'2.1 Database'!J20)</f>
        <v>1</v>
      </c>
    </row>
    <row r="21" spans="2:11" x14ac:dyDescent="0.2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7">
        <f>-SUMIF('1.1 FY2011'!$B:$B,'2.1 Database'!B21,'1.1 FY2011'!$F:$F)</f>
        <v>291428.55199999997</v>
      </c>
      <c r="G21" s="17">
        <f>-SUMIF('1.2 FY2012'!$B:$B,'2.1 Database'!B21,'1.2 FY2012'!$F:$F)</f>
        <v>0</v>
      </c>
      <c r="H21" s="17">
        <f>-SUMIF('1.3 FY2013'!$B:$B,'2.1 Database'!B21,'1.3 FY2013'!$F:$F)</f>
        <v>0</v>
      </c>
      <c r="J21" s="35" t="s">
        <v>219</v>
      </c>
      <c r="K21" s="2">
        <f>+COUNTIF('2.2 P&amp;L statement'!$B$4:$B$24,'2.1 Database'!J21)</f>
        <v>1</v>
      </c>
    </row>
    <row r="22" spans="2:11" x14ac:dyDescent="0.2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7">
        <f>-SUMIF('1.1 FY2011'!$B:$B,'2.1 Database'!B22,'1.1 FY2011'!$F:$F)</f>
        <v>0</v>
      </c>
      <c r="G22" s="17">
        <f>-SUMIF('1.2 FY2012'!$B:$B,'2.1 Database'!B22,'1.2 FY2012'!$F:$F)</f>
        <v>0</v>
      </c>
      <c r="H22" s="17">
        <f>-SUMIF('1.3 FY2013'!$B:$B,'2.1 Database'!B22,'1.3 FY2013'!$F:$F)</f>
        <v>0</v>
      </c>
      <c r="J22" s="35" t="s">
        <v>219</v>
      </c>
      <c r="K22" s="2">
        <f>+COUNTIF('2.2 P&amp;L statement'!$B$4:$B$24,'2.1 Database'!J22)</f>
        <v>1</v>
      </c>
    </row>
    <row r="23" spans="2:11" x14ac:dyDescent="0.2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7">
        <f>-SUMIF('1.1 FY2011'!$B:$B,'2.1 Database'!B23,'1.1 FY2011'!$F:$F)</f>
        <v>33736.5</v>
      </c>
      <c r="G23" s="17">
        <f>-SUMIF('1.2 FY2012'!$B:$B,'2.1 Database'!B23,'1.2 FY2012'!$F:$F)</f>
        <v>0</v>
      </c>
      <c r="H23" s="17">
        <f>-SUMIF('1.3 FY2013'!$B:$B,'2.1 Database'!B23,'1.3 FY2013'!$F:$F)</f>
        <v>0</v>
      </c>
      <c r="J23" s="35" t="s">
        <v>219</v>
      </c>
      <c r="K23" s="2">
        <f>+COUNTIF('2.2 P&amp;L statement'!$B$4:$B$24,'2.1 Database'!J23)</f>
        <v>1</v>
      </c>
    </row>
    <row r="24" spans="2:11" x14ac:dyDescent="0.2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7">
        <f>-SUMIF('1.1 FY2011'!$B:$B,'2.1 Database'!B24,'1.1 FY2011'!$F:$F)</f>
        <v>0</v>
      </c>
      <c r="G24" s="17">
        <f>-SUMIF('1.2 FY2012'!$B:$B,'2.1 Database'!B24,'1.2 FY2012'!$F:$F)</f>
        <v>0</v>
      </c>
      <c r="H24" s="17">
        <f>-SUMIF('1.3 FY2013'!$B:$B,'2.1 Database'!B24,'1.3 FY2013'!$F:$F)</f>
        <v>0</v>
      </c>
      <c r="J24" s="35" t="s">
        <v>219</v>
      </c>
      <c r="K24" s="2">
        <f>+COUNTIF('2.2 P&amp;L statement'!$B$4:$B$24,'2.1 Database'!J24)</f>
        <v>1</v>
      </c>
    </row>
    <row r="25" spans="2:11" x14ac:dyDescent="0.2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7">
        <f>-SUMIF('1.1 FY2011'!$B:$B,'2.1 Database'!B25,'1.1 FY2011'!$F:$F)</f>
        <v>0</v>
      </c>
      <c r="G25" s="17">
        <f>-SUMIF('1.2 FY2012'!$B:$B,'2.1 Database'!B25,'1.2 FY2012'!$F:$F)</f>
        <v>0</v>
      </c>
      <c r="H25" s="17">
        <f>-SUMIF('1.3 FY2013'!$B:$B,'2.1 Database'!B25,'1.3 FY2013'!$F:$F)</f>
        <v>0</v>
      </c>
      <c r="J25" s="35" t="s">
        <v>219</v>
      </c>
      <c r="K25" s="2">
        <f>+COUNTIF('2.2 P&amp;L statement'!$B$4:$B$24,'2.1 Database'!J25)</f>
        <v>1</v>
      </c>
    </row>
    <row r="26" spans="2:11" x14ac:dyDescent="0.2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7">
        <f>-SUMIF('1.1 FY2011'!$B:$B,'2.1 Database'!B26,'1.1 FY2011'!$F:$F)</f>
        <v>0</v>
      </c>
      <c r="G26" s="17">
        <f>-SUMIF('1.2 FY2012'!$B:$B,'2.1 Database'!B26,'1.2 FY2012'!$F:$F)</f>
        <v>0</v>
      </c>
      <c r="H26" s="17">
        <f>-SUMIF('1.3 FY2013'!$B:$B,'2.1 Database'!B26,'1.3 FY2013'!$F:$F)</f>
        <v>0</v>
      </c>
      <c r="J26" s="35" t="s">
        <v>219</v>
      </c>
      <c r="K26" s="2">
        <f>+COUNTIF('2.2 P&amp;L statement'!$B$4:$B$24,'2.1 Database'!J26)</f>
        <v>1</v>
      </c>
    </row>
    <row r="27" spans="2:11" x14ac:dyDescent="0.2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7">
        <f>-SUMIF('1.1 FY2011'!$B:$B,'2.1 Database'!B27,'1.1 FY2011'!$F:$F)</f>
        <v>199600.4</v>
      </c>
      <c r="G27" s="17">
        <f>-SUMIF('1.2 FY2012'!$B:$B,'2.1 Database'!B27,'1.2 FY2012'!$F:$F)</f>
        <v>10461.36</v>
      </c>
      <c r="H27" s="17">
        <f>-SUMIF('1.3 FY2013'!$B:$B,'2.1 Database'!B27,'1.3 FY2013'!$F:$F)</f>
        <v>0</v>
      </c>
      <c r="J27" s="35" t="s">
        <v>219</v>
      </c>
      <c r="K27" s="2">
        <f>+COUNTIF('2.2 P&amp;L statement'!$B$4:$B$24,'2.1 Database'!J27)</f>
        <v>1</v>
      </c>
    </row>
    <row r="28" spans="2:11" x14ac:dyDescent="0.2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7">
        <f>-SUMIF('1.1 FY2011'!$B:$B,'2.1 Database'!B28,'1.1 FY2011'!$F:$F)</f>
        <v>539141.4</v>
      </c>
      <c r="G28" s="17">
        <f>-SUMIF('1.2 FY2012'!$B:$B,'2.1 Database'!B28,'1.2 FY2012'!$F:$F)</f>
        <v>6785.94</v>
      </c>
      <c r="H28" s="17">
        <f>-SUMIF('1.3 FY2013'!$B:$B,'2.1 Database'!B28,'1.3 FY2013'!$F:$F)</f>
        <v>902857.84299999999</v>
      </c>
      <c r="J28" s="42" t="s">
        <v>219</v>
      </c>
      <c r="K28" s="2">
        <f>+COUNTIF('2.2 P&amp;L statement'!$B$4:$B$24,'2.1 Database'!J28)</f>
        <v>1</v>
      </c>
    </row>
    <row r="29" spans="2:11" x14ac:dyDescent="0.2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7">
        <f>-SUMIF('1.1 FY2011'!$B:$B,'2.1 Database'!B29,'1.1 FY2011'!$F:$F)</f>
        <v>57.221999999999994</v>
      </c>
      <c r="G29" s="17">
        <f>-SUMIF('1.2 FY2012'!$B:$B,'2.1 Database'!B29,'1.2 FY2012'!$F:$F)</f>
        <v>-9793.84</v>
      </c>
      <c r="H29" s="17">
        <f>-SUMIF('1.3 FY2013'!$B:$B,'2.1 Database'!B29,'1.3 FY2013'!$F:$F)</f>
        <v>15872.001999999999</v>
      </c>
      <c r="J29" s="35" t="s">
        <v>74</v>
      </c>
      <c r="K29" s="2">
        <f>+COUNTIF('2.2 P&amp;L statement'!$B$4:$B$24,'2.1 Database'!J29)</f>
        <v>1</v>
      </c>
    </row>
    <row r="30" spans="2:11" x14ac:dyDescent="0.2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7">
        <f>-SUMIF('1.1 FY2011'!$B:$B,'2.1 Database'!B30,'1.1 FY2011'!$F:$F)</f>
        <v>-22314.879999999997</v>
      </c>
      <c r="G30" s="17">
        <f>-SUMIF('1.2 FY2012'!$B:$B,'2.1 Database'!B30,'1.2 FY2012'!$F:$F)</f>
        <v>-65947.7</v>
      </c>
      <c r="H30" s="17">
        <f>-SUMIF('1.3 FY2013'!$B:$B,'2.1 Database'!B30,'1.3 FY2013'!$F:$F)</f>
        <v>-57.317999999999998</v>
      </c>
      <c r="J30" s="35" t="s">
        <v>231</v>
      </c>
      <c r="K30" s="2">
        <f>+COUNTIF('2.2 P&amp;L statement'!$B$4:$B$24,'2.1 Database'!J30)</f>
        <v>1</v>
      </c>
    </row>
    <row r="31" spans="2:11" x14ac:dyDescent="0.2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7">
        <f>-SUMIF('1.1 FY2011'!$B:$B,'2.1 Database'!B31,'1.1 FY2011'!$F:$F)</f>
        <v>-204000</v>
      </c>
      <c r="G31" s="17">
        <f>-SUMIF('1.2 FY2012'!$B:$B,'2.1 Database'!B31,'1.2 FY2012'!$F:$F)</f>
        <v>0</v>
      </c>
      <c r="H31" s="17">
        <f>-SUMIF('1.3 FY2013'!$B:$B,'2.1 Database'!B31,'1.3 FY2013'!$F:$F)</f>
        <v>0</v>
      </c>
      <c r="J31" s="35" t="s">
        <v>231</v>
      </c>
      <c r="K31" s="2">
        <f>+COUNTIF('2.2 P&amp;L statement'!$B$4:$B$24,'2.1 Database'!J31)</f>
        <v>1</v>
      </c>
    </row>
    <row r="32" spans="2:11" x14ac:dyDescent="0.2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7">
        <f>-SUMIF('1.1 FY2011'!$B:$B,'2.1 Database'!B32,'1.1 FY2011'!$F:$F)</f>
        <v>-138.41399999999999</v>
      </c>
      <c r="G32" s="17">
        <f>-SUMIF('1.2 FY2012'!$B:$B,'2.1 Database'!B32,'1.2 FY2012'!$F:$F)</f>
        <v>-5138.91</v>
      </c>
      <c r="H32" s="17">
        <f>-SUMIF('1.3 FY2013'!$B:$B,'2.1 Database'!B32,'1.3 FY2013'!$F:$F)</f>
        <v>-19198.66</v>
      </c>
      <c r="J32" s="35" t="s">
        <v>231</v>
      </c>
      <c r="K32" s="2">
        <f>+COUNTIF('2.2 P&amp;L statement'!$B$4:$B$24,'2.1 Database'!J32)</f>
        <v>1</v>
      </c>
    </row>
    <row r="33" spans="2:11" x14ac:dyDescent="0.2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7">
        <f>-SUMIF('1.1 FY2011'!$B:$B,'2.1 Database'!B33,'1.1 FY2011'!$F:$F)</f>
        <v>-1127445.872</v>
      </c>
      <c r="G33" s="17">
        <f>-SUMIF('1.2 FY2012'!$B:$B,'2.1 Database'!B33,'1.2 FY2012'!$F:$F)</f>
        <v>-1055381.4750000001</v>
      </c>
      <c r="H33" s="17">
        <f>-SUMIF('1.3 FY2013'!$B:$B,'2.1 Database'!B33,'1.3 FY2013'!$F:$F)</f>
        <v>172933.44899999999</v>
      </c>
      <c r="J33" s="35" t="s">
        <v>220</v>
      </c>
      <c r="K33" s="2">
        <f>+COUNTIF('2.2 P&amp;L statement'!$B$4:$B$24,'2.1 Database'!J33)</f>
        <v>1</v>
      </c>
    </row>
    <row r="34" spans="2:11" x14ac:dyDescent="0.2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7">
        <f>-SUMIF('1.1 FY2011'!$B:$B,'2.1 Database'!B34,'1.1 FY2011'!$F:$F)</f>
        <v>-133722</v>
      </c>
      <c r="G34" s="17">
        <f>-SUMIF('1.2 FY2012'!$B:$B,'2.1 Database'!B34,'1.2 FY2012'!$F:$F)</f>
        <v>0</v>
      </c>
      <c r="H34" s="17">
        <f>-SUMIF('1.3 FY2013'!$B:$B,'2.1 Database'!B34,'1.3 FY2013'!$F:$F)</f>
        <v>0</v>
      </c>
      <c r="J34" s="35" t="s">
        <v>221</v>
      </c>
      <c r="K34" s="2">
        <f>+COUNTIF('2.2 P&amp;L statement'!$B$4:$B$24,'2.1 Database'!J34)</f>
        <v>1</v>
      </c>
    </row>
    <row r="35" spans="2:11" x14ac:dyDescent="0.2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7">
        <f>-SUMIF('1.1 FY2011'!$B:$B,'2.1 Database'!B35,'1.1 FY2011'!$F:$F)</f>
        <v>-328061.886</v>
      </c>
      <c r="G35" s="17">
        <f>-SUMIF('1.2 FY2012'!$B:$B,'2.1 Database'!B35,'1.2 FY2012'!$F:$F)</f>
        <v>-430845.34499999997</v>
      </c>
      <c r="H35" s="17">
        <f>-SUMIF('1.3 FY2013'!$B:$B,'2.1 Database'!B35,'1.3 FY2013'!$F:$F)</f>
        <v>0</v>
      </c>
      <c r="J35" s="35" t="s">
        <v>221</v>
      </c>
      <c r="K35" s="2">
        <f>+COUNTIF('2.2 P&amp;L statement'!$B$4:$B$24,'2.1 Database'!J35)</f>
        <v>1</v>
      </c>
    </row>
    <row r="36" spans="2:11" x14ac:dyDescent="0.2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7">
        <f>-SUMIF('1.1 FY2011'!$B:$B,'2.1 Database'!B36,'1.1 FY2011'!$F:$F)</f>
        <v>-2081304.3219999997</v>
      </c>
      <c r="G36" s="17">
        <f>-SUMIF('1.2 FY2012'!$B:$B,'2.1 Database'!B36,'1.2 FY2012'!$F:$F)</f>
        <v>-1130021</v>
      </c>
      <c r="H36" s="17">
        <f>-SUMIF('1.3 FY2013'!$B:$B,'2.1 Database'!B36,'1.3 FY2013'!$F:$F)</f>
        <v>-1481408.47</v>
      </c>
      <c r="J36" s="35" t="s">
        <v>221</v>
      </c>
      <c r="K36" s="2">
        <f>+COUNTIF('2.2 P&amp;L statement'!$B$4:$B$24,'2.1 Database'!J36)</f>
        <v>1</v>
      </c>
    </row>
    <row r="37" spans="2:11" x14ac:dyDescent="0.2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7">
        <f>-SUMIF('1.1 FY2011'!$B:$B,'2.1 Database'!B37,'1.1 FY2011'!$F:$F)</f>
        <v>-33410.031999999999</v>
      </c>
      <c r="G37" s="17">
        <f>-SUMIF('1.2 FY2012'!$B:$B,'2.1 Database'!B37,'1.2 FY2012'!$F:$F)</f>
        <v>-7293.5450000000001</v>
      </c>
      <c r="H37" s="17">
        <f>-SUMIF('1.3 FY2013'!$B:$B,'2.1 Database'!B37,'1.3 FY2013'!$F:$F)</f>
        <v>-40048.799999999996</v>
      </c>
      <c r="J37" s="35" t="s">
        <v>231</v>
      </c>
      <c r="K37" s="2">
        <f>+COUNTIF('2.2 P&amp;L statement'!$B$4:$B$24,'2.1 Database'!J37)</f>
        <v>1</v>
      </c>
    </row>
    <row r="38" spans="2:11" x14ac:dyDescent="0.2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7">
        <f>-SUMIF('1.1 FY2011'!$B:$B,'2.1 Database'!B38,'1.1 FY2011'!$F:$F)</f>
        <v>-213090.85199999998</v>
      </c>
      <c r="G38" s="17">
        <f>-SUMIF('1.2 FY2012'!$B:$B,'2.1 Database'!B38,'1.2 FY2012'!$F:$F)</f>
        <v>-48468.665000000001</v>
      </c>
      <c r="H38" s="17">
        <f>-SUMIF('1.3 FY2013'!$B:$B,'2.1 Database'!B38,'1.3 FY2013'!$F:$F)</f>
        <v>-64039.82699999999</v>
      </c>
      <c r="J38" s="35" t="s">
        <v>231</v>
      </c>
      <c r="K38" s="2">
        <f>+COUNTIF('2.2 P&amp;L statement'!$B$4:$B$24,'2.1 Database'!J38)</f>
        <v>1</v>
      </c>
    </row>
    <row r="39" spans="2:11" x14ac:dyDescent="0.2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7">
        <f>-SUMIF('1.1 FY2011'!$B:$B,'2.1 Database'!B39,'1.1 FY2011'!$F:$F)</f>
        <v>-1813525.004</v>
      </c>
      <c r="G39" s="17">
        <f>-SUMIF('1.2 FY2012'!$B:$B,'2.1 Database'!B39,'1.2 FY2012'!$F:$F)</f>
        <v>-2393259.19</v>
      </c>
      <c r="H39" s="17">
        <f>-SUMIF('1.3 FY2013'!$B:$B,'2.1 Database'!B39,'1.3 FY2013'!$F:$F)</f>
        <v>-2514431.8869999996</v>
      </c>
      <c r="J39" s="35" t="s">
        <v>222</v>
      </c>
      <c r="K39" s="2">
        <f>+COUNTIF('2.2 P&amp;L statement'!$B$4:$B$24,'2.1 Database'!J39)</f>
        <v>1</v>
      </c>
    </row>
    <row r="40" spans="2:11" x14ac:dyDescent="0.2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7">
        <f>-SUMIF('1.1 FY2011'!$B:$B,'2.1 Database'!B40,'1.1 FY2011'!$F:$F)</f>
        <v>-5552.2</v>
      </c>
      <c r="G40" s="17">
        <f>-SUMIF('1.2 FY2012'!$B:$B,'2.1 Database'!B40,'1.2 FY2012'!$F:$F)</f>
        <v>-23069.654999999999</v>
      </c>
      <c r="H40" s="17">
        <f>-SUMIF('1.3 FY2013'!$B:$B,'2.1 Database'!B40,'1.3 FY2013'!$F:$F)</f>
        <v>-4194.2999999999993</v>
      </c>
      <c r="J40" s="35" t="s">
        <v>231</v>
      </c>
      <c r="K40" s="2">
        <f>+COUNTIF('2.2 P&amp;L statement'!$B$4:$B$24,'2.1 Database'!J40)</f>
        <v>1</v>
      </c>
    </row>
    <row r="41" spans="2:11" x14ac:dyDescent="0.2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7">
        <f>-SUMIF('1.1 FY2011'!$B:$B,'2.1 Database'!B41,'1.1 FY2011'!$F:$F)</f>
        <v>-43868.975999999995</v>
      </c>
      <c r="G41" s="17">
        <f>-SUMIF('1.2 FY2012'!$B:$B,'2.1 Database'!B41,'1.2 FY2012'!$F:$F)</f>
        <v>-208366.935</v>
      </c>
      <c r="H41" s="17">
        <f>-SUMIF('1.3 FY2013'!$B:$B,'2.1 Database'!B41,'1.3 FY2013'!$F:$F)</f>
        <v>-106525.708</v>
      </c>
      <c r="J41" s="35" t="s">
        <v>231</v>
      </c>
      <c r="K41" s="2">
        <f>+COUNTIF('2.2 P&amp;L statement'!$B$4:$B$24,'2.1 Database'!J41)</f>
        <v>1</v>
      </c>
    </row>
    <row r="42" spans="2:11" x14ac:dyDescent="0.2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7">
        <f>-SUMIF('1.1 FY2011'!$B:$B,'2.1 Database'!B42,'1.1 FY2011'!$F:$F)</f>
        <v>-10934.671999999999</v>
      </c>
      <c r="G42" s="17">
        <f>-SUMIF('1.2 FY2012'!$B:$B,'2.1 Database'!B42,'1.2 FY2012'!$F:$F)</f>
        <v>-20323.309999999998</v>
      </c>
      <c r="H42" s="17">
        <f>-SUMIF('1.3 FY2013'!$B:$B,'2.1 Database'!B42,'1.3 FY2013'!$F:$F)</f>
        <v>-109811.284</v>
      </c>
      <c r="J42" s="35" t="s">
        <v>231</v>
      </c>
      <c r="K42" s="2">
        <f>+COUNTIF('2.2 P&amp;L statement'!$B$4:$B$24,'2.1 Database'!J42)</f>
        <v>1</v>
      </c>
    </row>
    <row r="43" spans="2:11" x14ac:dyDescent="0.2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7">
        <f>-SUMIF('1.1 FY2011'!$B:$B,'2.1 Database'!B43,'1.1 FY2011'!$F:$F)</f>
        <v>-20400</v>
      </c>
      <c r="G43" s="17">
        <f>-SUMIF('1.2 FY2012'!$B:$B,'2.1 Database'!B43,'1.2 FY2012'!$F:$F)</f>
        <v>-169489</v>
      </c>
      <c r="H43" s="17">
        <f>-SUMIF('1.3 FY2013'!$B:$B,'2.1 Database'!B43,'1.3 FY2013'!$F:$F)</f>
        <v>-61111.483999999997</v>
      </c>
      <c r="J43" s="35" t="s">
        <v>231</v>
      </c>
      <c r="K43" s="2">
        <f>+COUNTIF('2.2 P&amp;L statement'!$B$4:$B$24,'2.1 Database'!J43)</f>
        <v>1</v>
      </c>
    </row>
    <row r="44" spans="2:11" x14ac:dyDescent="0.2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7">
        <f>-SUMIF('1.1 FY2011'!$B:$B,'2.1 Database'!B44,'1.1 FY2011'!$F:$F)</f>
        <v>0</v>
      </c>
      <c r="G44" s="17">
        <f>-SUMIF('1.2 FY2012'!$B:$B,'2.1 Database'!B44,'1.2 FY2012'!$F:$F)</f>
        <v>0</v>
      </c>
      <c r="H44" s="17">
        <f>-SUMIF('1.3 FY2013'!$B:$B,'2.1 Database'!B44,'1.3 FY2013'!$F:$F)</f>
        <v>-1684415.2999999998</v>
      </c>
      <c r="J44" s="35" t="s">
        <v>231</v>
      </c>
      <c r="K44" s="2">
        <f>+COUNTIF('2.2 P&amp;L statement'!$B$4:$B$24,'2.1 Database'!J44)</f>
        <v>1</v>
      </c>
    </row>
    <row r="45" spans="2:11" x14ac:dyDescent="0.2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7">
        <f>-SUMIF('1.1 FY2011'!$B:$B,'2.1 Database'!B45,'1.1 FY2011'!$F:$F)</f>
        <v>-563918.152</v>
      </c>
      <c r="G45" s="17">
        <f>-SUMIF('1.2 FY2012'!$B:$B,'2.1 Database'!B45,'1.2 FY2012'!$F:$F)</f>
        <v>-638869.13</v>
      </c>
      <c r="H45" s="17">
        <f>-SUMIF('1.3 FY2013'!$B:$B,'2.1 Database'!B45,'1.3 FY2013'!$F:$F)</f>
        <v>-575626.2649999999</v>
      </c>
      <c r="J45" s="35" t="s">
        <v>231</v>
      </c>
      <c r="K45" s="2">
        <f>+COUNTIF('2.2 P&amp;L statement'!$B$4:$B$24,'2.1 Database'!J45)</f>
        <v>1</v>
      </c>
    </row>
    <row r="46" spans="2:11" x14ac:dyDescent="0.2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7">
        <f>-SUMIF('1.1 FY2011'!$B:$B,'2.1 Database'!B46,'1.1 FY2011'!$F:$F)</f>
        <v>0</v>
      </c>
      <c r="G46" s="17">
        <f>-SUMIF('1.2 FY2012'!$B:$B,'2.1 Database'!B46,'1.2 FY2012'!$F:$F)</f>
        <v>0</v>
      </c>
      <c r="H46" s="17">
        <f>-SUMIF('1.3 FY2013'!$B:$B,'2.1 Database'!B46,'1.3 FY2013'!$F:$F)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7">
        <f>-SUMIF('1.1 FY2011'!$B:$B,'2.1 Database'!B47,'1.1 FY2011'!$F:$F)</f>
        <v>0</v>
      </c>
      <c r="G47" s="17">
        <f>-SUMIF('1.2 FY2012'!$B:$B,'2.1 Database'!B47,'1.2 FY2012'!$F:$F)</f>
        <v>0</v>
      </c>
      <c r="H47" s="17">
        <f>-SUMIF('1.3 FY2013'!$B:$B,'2.1 Database'!B47,'1.3 FY2013'!$F:$F)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7">
        <f>-SUMIF('1.1 FY2011'!$B:$B,'2.1 Database'!B48,'1.1 FY2011'!$F:$F)</f>
        <v>0</v>
      </c>
      <c r="G48" s="17">
        <f>-SUMIF('1.2 FY2012'!$B:$B,'2.1 Database'!B48,'1.2 FY2012'!$F:$F)</f>
        <v>0</v>
      </c>
      <c r="H48" s="17">
        <f>-SUMIF('1.3 FY2013'!$B:$B,'2.1 Database'!B48,'1.3 FY2013'!$F:$F)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7">
        <f>-SUMIF('1.1 FY2011'!$B:$B,'2.1 Database'!B49,'1.1 FY2011'!$F:$F)</f>
        <v>0</v>
      </c>
      <c r="G49" s="17">
        <f>-SUMIF('1.2 FY2012'!$B:$B,'2.1 Database'!B49,'1.2 FY2012'!$F:$F)</f>
        <v>0</v>
      </c>
      <c r="H49" s="17">
        <f>-SUMIF('1.3 FY2013'!$B:$B,'2.1 Database'!B49,'1.3 FY2013'!$F:$F)</f>
        <v>0</v>
      </c>
      <c r="J49" s="35" t="s">
        <v>223</v>
      </c>
      <c r="K49" s="2">
        <f>+COUNTIF('2.2 P&amp;L statement'!$B$4:$B$24,'2.1 Database'!J49)</f>
        <v>1</v>
      </c>
    </row>
    <row r="50" spans="2:11" x14ac:dyDescent="0.2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7">
        <f>-SUMIF('1.1 FY2011'!$B:$B,'2.1 Database'!B50,'1.1 FY2011'!$F:$F)</f>
        <v>0</v>
      </c>
      <c r="G50" s="17">
        <f>-SUMIF('1.2 FY2012'!$B:$B,'2.1 Database'!B50,'1.2 FY2012'!$F:$F)</f>
        <v>0</v>
      </c>
      <c r="H50" s="17">
        <f>-SUMIF('1.3 FY2013'!$B:$B,'2.1 Database'!B50,'1.3 FY2013'!$F:$F)</f>
        <v>0</v>
      </c>
      <c r="J50" s="35" t="s">
        <v>223</v>
      </c>
      <c r="K50" s="2">
        <f>+COUNTIF('2.2 P&amp;L statement'!$B$4:$B$24,'2.1 Database'!J50)</f>
        <v>1</v>
      </c>
    </row>
    <row r="51" spans="2:11" x14ac:dyDescent="0.2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7">
        <f>-SUMIF('1.1 FY2011'!$B:$B,'2.1 Database'!B51,'1.1 FY2011'!$F:$F)</f>
        <v>0</v>
      </c>
      <c r="G51" s="17">
        <f>-SUMIF('1.2 FY2012'!$B:$B,'2.1 Database'!B51,'1.2 FY2012'!$F:$F)</f>
        <v>0</v>
      </c>
      <c r="H51" s="17">
        <f>-SUMIF('1.3 FY2013'!$B:$B,'2.1 Database'!B51,'1.3 FY2013'!$F:$F)</f>
        <v>0</v>
      </c>
      <c r="J51" s="35" t="s">
        <v>223</v>
      </c>
      <c r="K51" s="2">
        <f>+COUNTIF('2.2 P&amp;L statement'!$B$4:$B$24,'2.1 Database'!J51)</f>
        <v>1</v>
      </c>
    </row>
    <row r="52" spans="2:11" x14ac:dyDescent="0.2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7">
        <f>-SUMIF('1.1 FY2011'!$B:$B,'2.1 Database'!B52,'1.1 FY2011'!$F:$F)</f>
        <v>35810.228000000003</v>
      </c>
      <c r="G52" s="17">
        <f>-SUMIF('1.2 FY2012'!$B:$B,'2.1 Database'!B52,'1.2 FY2012'!$F:$F)</f>
        <v>34224.959999999999</v>
      </c>
      <c r="H52" s="17">
        <f>-SUMIF('1.3 FY2013'!$B:$B,'2.1 Database'!B52,'1.3 FY2013'!$F:$F)</f>
        <v>0</v>
      </c>
      <c r="J52" s="35" t="s">
        <v>223</v>
      </c>
      <c r="K52" s="2">
        <f>+COUNTIF('2.2 P&amp;L statement'!$B$4:$B$24,'2.1 Database'!J52)</f>
        <v>1</v>
      </c>
    </row>
    <row r="53" spans="2:11" x14ac:dyDescent="0.2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7">
        <f>-SUMIF('1.1 FY2011'!$B:$B,'2.1 Database'!B53,'1.1 FY2011'!$F:$F)</f>
        <v>51927.417999999998</v>
      </c>
      <c r="G53" s="17">
        <f>-SUMIF('1.2 FY2012'!$B:$B,'2.1 Database'!B53,'1.2 FY2012'!$F:$F)</f>
        <v>2204.7199999999998</v>
      </c>
      <c r="H53" s="17">
        <f>-SUMIF('1.3 FY2013'!$B:$B,'2.1 Database'!B53,'1.3 FY2013'!$F:$F)</f>
        <v>73809.511999999988</v>
      </c>
      <c r="J53" s="35" t="s">
        <v>223</v>
      </c>
      <c r="K53" s="2">
        <f>+COUNTIF('2.2 P&amp;L statement'!$B$4:$B$24,'2.1 Database'!J53)</f>
        <v>1</v>
      </c>
    </row>
    <row r="54" spans="2:11" x14ac:dyDescent="0.2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7">
        <f>-SUMIF('1.1 FY2011'!$B:$B,'2.1 Database'!B54,'1.1 FY2011'!$F:$F)</f>
        <v>862270.63399999996</v>
      </c>
      <c r="G54" s="17">
        <f>-SUMIF('1.2 FY2012'!$B:$B,'2.1 Database'!B54,'1.2 FY2012'!$F:$F)</f>
        <v>0</v>
      </c>
      <c r="H54" s="17">
        <f>-SUMIF('1.3 FY2013'!$B:$B,'2.1 Database'!B54,'1.3 FY2013'!$F:$F)</f>
        <v>0</v>
      </c>
      <c r="J54" s="35" t="s">
        <v>67</v>
      </c>
      <c r="K54" s="2">
        <f>+COUNTIF('2.2 P&amp;L statement'!$B$4:$B$24,'2.1 Database'!J54)</f>
        <v>1</v>
      </c>
    </row>
    <row r="55" spans="2:11" x14ac:dyDescent="0.2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7">
        <f>-SUMIF('1.1 FY2011'!$B:$B,'2.1 Database'!B55,'1.1 FY2011'!$F:$F)</f>
        <v>-22763</v>
      </c>
      <c r="G55" s="17">
        <f>-SUMIF('1.2 FY2012'!$B:$B,'2.1 Database'!B55,'1.2 FY2012'!$F:$F)</f>
        <v>-80617.179999999993</v>
      </c>
      <c r="H55" s="17">
        <f>-SUMIF('1.3 FY2013'!$B:$B,'2.1 Database'!B55,'1.3 FY2013'!$F:$F)</f>
        <v>-7173.195999999999</v>
      </c>
      <c r="J55" s="35" t="s">
        <v>224</v>
      </c>
      <c r="K55" s="2">
        <f>+COUNTIF('2.2 P&amp;L statement'!$B$4:$B$24,'2.1 Database'!J55)</f>
        <v>1</v>
      </c>
    </row>
    <row r="56" spans="2:11" x14ac:dyDescent="0.2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7">
        <f>-SUMIF('1.1 FY2011'!$B:$B,'2.1 Database'!B56,'1.1 FY2011'!$F:$F)</f>
        <v>-2930430.0120000001</v>
      </c>
      <c r="G56" s="17">
        <f>-SUMIF('1.2 FY2012'!$B:$B,'2.1 Database'!B56,'1.2 FY2012'!$F:$F)</f>
        <v>-2752704.22</v>
      </c>
      <c r="H56" s="17">
        <f>-SUMIF('1.3 FY2013'!$B:$B,'2.1 Database'!B56,'1.3 FY2013'!$F:$F)</f>
        <v>-2324465.8859999999</v>
      </c>
      <c r="J56" s="35" t="s">
        <v>223</v>
      </c>
      <c r="K56" s="2">
        <f>+COUNTIF('2.2 P&amp;L statement'!$B$4:$B$24,'2.1 Database'!J56)</f>
        <v>1</v>
      </c>
    </row>
    <row r="57" spans="2:11" x14ac:dyDescent="0.2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7">
        <f>-SUMIF('1.1 FY2011'!$B:$B,'2.1 Database'!B57,'1.1 FY2011'!$F:$F)</f>
        <v>49378.641999999993</v>
      </c>
      <c r="G57" s="17">
        <f>-SUMIF('1.2 FY2012'!$B:$B,'2.1 Database'!B57,'1.2 FY2012'!$F:$F)</f>
        <v>-496748.70000000007</v>
      </c>
      <c r="H57" s="17">
        <f>-SUMIF('1.3 FY2013'!$B:$B,'2.1 Database'!B57,'1.3 FY2013'!$F:$F)</f>
        <v>-2558.1950000000002</v>
      </c>
      <c r="J57" s="35" t="s">
        <v>225</v>
      </c>
      <c r="K57" s="2">
        <f>+COUNTIF('2.2 P&amp;L statement'!$B$4:$B$24,'2.1 Database'!J57)</f>
        <v>1</v>
      </c>
    </row>
    <row r="58" spans="2:11" x14ac:dyDescent="0.2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7">
        <f>-SUMIF('1.1 FY2011'!$B:$B,'2.1 Database'!B58,'1.1 FY2011'!$F:$F)</f>
        <v>-516250.67</v>
      </c>
      <c r="G58" s="17">
        <f>-SUMIF('1.2 FY2012'!$B:$B,'2.1 Database'!B58,'1.2 FY2012'!$F:$F)</f>
        <v>-480872.96000000002</v>
      </c>
      <c r="H58" s="17">
        <f>-SUMIF('1.3 FY2013'!$B:$B,'2.1 Database'!B58,'1.3 FY2013'!$F:$F)</f>
        <v>-522710.353</v>
      </c>
      <c r="J58" s="35" t="s">
        <v>225</v>
      </c>
      <c r="K58" s="2">
        <f>+COUNTIF('2.2 P&amp;L statement'!$B$4:$B$24,'2.1 Database'!J58)</f>
        <v>1</v>
      </c>
    </row>
    <row r="59" spans="2:11" x14ac:dyDescent="0.2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7">
        <f>-SUMIF('1.1 FY2011'!$B:$B,'2.1 Database'!B59,'1.1 FY2011'!$F:$F)</f>
        <v>-21593.093999999997</v>
      </c>
      <c r="G59" s="17">
        <f>-SUMIF('1.2 FY2012'!$B:$B,'2.1 Database'!B59,'1.2 FY2012'!$F:$F)</f>
        <v>-6570.3050000000003</v>
      </c>
      <c r="H59" s="17">
        <f>-SUMIF('1.3 FY2013'!$B:$B,'2.1 Database'!B59,'1.3 FY2013'!$F:$F)</f>
        <v>160303.52199999997</v>
      </c>
      <c r="J59" s="35" t="s">
        <v>225</v>
      </c>
      <c r="K59" s="2">
        <f>+COUNTIF('2.2 P&amp;L statement'!$B$4:$B$24,'2.1 Database'!J59)</f>
        <v>1</v>
      </c>
    </row>
    <row r="60" spans="2:11" x14ac:dyDescent="0.2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7">
        <f>SUMIF('1.1 FY2011'!$B:$B,'2.1 Database'!B60,'1.1 FY2011'!$F:$F)</f>
        <v>-2904117.9939999986</v>
      </c>
      <c r="G60" s="17">
        <f>SUMIF('1.2 FY2012'!$B:$B,'2.1 Database'!B60,'1.2 FY2012'!$F:$F)</f>
        <v>0</v>
      </c>
      <c r="H60" s="17">
        <f>SUMIF('1.3 FY2013'!$B:$B,'2.1 Database'!B60,'1.3 FY2013'!$F:$F)</f>
        <v>0</v>
      </c>
      <c r="J60" s="35" t="s">
        <v>235</v>
      </c>
      <c r="K60" s="2">
        <f>+COUNTIF('2.2 P&amp;L statement'!$B$4:$B$24,'2.1 Database'!J60)</f>
        <v>1</v>
      </c>
    </row>
    <row r="61" spans="2:11" x14ac:dyDescent="0.2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7">
        <f>-SUMIF('1.1 FY2011'!$B:$B,'2.1 Database'!B61,'1.1 FY2011'!$F:$F)</f>
        <v>0</v>
      </c>
      <c r="G61" s="17">
        <f>-SUMIF('1.2 FY2012'!$B:$B,'2.1 Database'!B61,'1.2 FY2012'!$F:$F)</f>
        <v>355396.61499999999</v>
      </c>
      <c r="H61" s="17">
        <f>-SUMIF('1.3 FY2013'!$B:$B,'2.1 Database'!B61,'1.3 FY2013'!$F:$F)</f>
        <v>616462.01899999997</v>
      </c>
      <c r="J61" s="35" t="s">
        <v>226</v>
      </c>
      <c r="K61" s="2">
        <f>+COUNTIF('2.2 P&amp;L statement'!$B$4:$B$24,'2.1 Database'!J61)</f>
        <v>1</v>
      </c>
    </row>
    <row r="62" spans="2:11" x14ac:dyDescent="0.2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7">
        <f>-SUMIF('1.1 FY2011'!$B:$B,'2.1 Database'!B62,'1.1 FY2011'!$F:$F)</f>
        <v>0</v>
      </c>
      <c r="G62" s="17">
        <f>-SUMIF('1.2 FY2012'!$B:$B,'2.1 Database'!B62,'1.2 FY2012'!$F:$F)</f>
        <v>420017.14999999997</v>
      </c>
      <c r="H62" s="17">
        <f>-SUMIF('1.3 FY2013'!$B:$B,'2.1 Database'!B62,'1.3 FY2013'!$F:$F)</f>
        <v>0</v>
      </c>
      <c r="J62" s="35" t="s">
        <v>67</v>
      </c>
      <c r="K62" s="2">
        <f>+COUNTIF('2.2 P&amp;L statement'!$B$4:$B$24,'2.1 Database'!J62)</f>
        <v>1</v>
      </c>
    </row>
    <row r="63" spans="2:11" x14ac:dyDescent="0.2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7">
        <f>-SUMIF('1.1 FY2011'!$B:$B,'2.1 Database'!B63,'1.1 FY2011'!$F:$F)</f>
        <v>0</v>
      </c>
      <c r="G63" s="17">
        <f>-SUMIF('1.2 FY2012'!$B:$B,'2.1 Database'!B63,'1.2 FY2012'!$F:$F)</f>
        <v>-14589.33</v>
      </c>
      <c r="H63" s="17">
        <f>-SUMIF('1.3 FY2013'!$B:$B,'2.1 Database'!B63,'1.3 FY2013'!$F:$F)</f>
        <v>-20504.509999999998</v>
      </c>
      <c r="J63" s="35" t="s">
        <v>231</v>
      </c>
      <c r="K63" s="2">
        <f>+COUNTIF('2.2 P&amp;L statement'!$B$4:$B$24,'2.1 Database'!J63)</f>
        <v>1</v>
      </c>
    </row>
    <row r="64" spans="2:11" x14ac:dyDescent="0.2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7">
        <f>-SUMIF('1.1 FY2011'!$B:$B,'2.1 Database'!B64,'1.1 FY2011'!$F:$F)</f>
        <v>0</v>
      </c>
      <c r="G64" s="17">
        <f>-SUMIF('1.2 FY2012'!$B:$B,'2.1 Database'!B64,'1.2 FY2012'!$F:$F)</f>
        <v>-38521</v>
      </c>
      <c r="H64" s="17">
        <f>-SUMIF('1.3 FY2013'!$B:$B,'2.1 Database'!B64,'1.3 FY2013'!$F:$F)</f>
        <v>0</v>
      </c>
      <c r="J64" s="35" t="s">
        <v>231</v>
      </c>
      <c r="K64" s="2">
        <f>+COUNTIF('2.2 P&amp;L statement'!$B$4:$B$24,'2.1 Database'!J64)</f>
        <v>1</v>
      </c>
    </row>
    <row r="65" spans="2:11" x14ac:dyDescent="0.2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7">
        <f>-SUMIF('1.1 FY2011'!$B:$B,'2.1 Database'!B65,'1.1 FY2011'!$F:$F)</f>
        <v>0</v>
      </c>
      <c r="G65" s="17">
        <f>-SUMIF('1.2 FY2012'!$B:$B,'2.1 Database'!B65,'1.2 FY2012'!$F:$F)</f>
        <v>-1820</v>
      </c>
      <c r="H65" s="17">
        <f>-SUMIF('1.3 FY2013'!$B:$B,'2.1 Database'!B65,'1.3 FY2013'!$F:$F)</f>
        <v>0</v>
      </c>
      <c r="J65" s="35" t="s">
        <v>231</v>
      </c>
      <c r="K65" s="2">
        <f>+COUNTIF('2.2 P&amp;L statement'!$B$4:$B$24,'2.1 Database'!J65)</f>
        <v>1</v>
      </c>
    </row>
    <row r="66" spans="2:11" x14ac:dyDescent="0.2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7">
        <f>-SUMIF('1.1 FY2011'!$B:$B,'2.1 Database'!B66,'1.1 FY2011'!$F:$F)</f>
        <v>0</v>
      </c>
      <c r="G66" s="17">
        <f>-SUMIF('1.2 FY2012'!$B:$B,'2.1 Database'!B66,'1.2 FY2012'!$F:$F)</f>
        <v>-10448.129999999999</v>
      </c>
      <c r="H66" s="17">
        <f>-SUMIF('1.3 FY2013'!$B:$B,'2.1 Database'!B66,'1.3 FY2013'!$F:$F)</f>
        <v>-673.34299999999985</v>
      </c>
      <c r="J66" s="35" t="s">
        <v>231</v>
      </c>
      <c r="K66" s="2">
        <f>+COUNTIF('2.2 P&amp;L statement'!$B$4:$B$24,'2.1 Database'!J66)</f>
        <v>1</v>
      </c>
    </row>
    <row r="67" spans="2:11" x14ac:dyDescent="0.2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7">
        <f>-SUMIF('1.1 FY2011'!$B:$B,'2.1 Database'!B67,'1.1 FY2011'!$F:$F)</f>
        <v>0</v>
      </c>
      <c r="G67" s="17">
        <f>-SUMIF('1.2 FY2012'!$B:$B,'2.1 Database'!B67,'1.2 FY2012'!$F:$F)</f>
        <v>-10412.5</v>
      </c>
      <c r="H67" s="17">
        <f>-SUMIF('1.3 FY2013'!$B:$B,'2.1 Database'!B67,'1.3 FY2013'!$F:$F)</f>
        <v>0</v>
      </c>
      <c r="J67" s="35" t="s">
        <v>231</v>
      </c>
      <c r="K67" s="2">
        <f>+COUNTIF('2.2 P&amp;L statement'!$B$4:$B$24,'2.1 Database'!J67)</f>
        <v>1</v>
      </c>
    </row>
    <row r="68" spans="2:11" x14ac:dyDescent="0.2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7">
        <f>-SUMIF('1.1 FY2011'!$B:$B,'2.1 Database'!B68,'1.1 FY2011'!$F:$F)</f>
        <v>0</v>
      </c>
      <c r="G68" s="17">
        <f>-SUMIF('1.2 FY2012'!$B:$B,'2.1 Database'!B68,'1.2 FY2012'!$F:$F)</f>
        <v>-6919.8499999999995</v>
      </c>
      <c r="H68" s="17">
        <f>-SUMIF('1.3 FY2013'!$B:$B,'2.1 Database'!B68,'1.3 FY2013'!$F:$F)</f>
        <v>0</v>
      </c>
      <c r="J68" s="35" t="s">
        <v>218</v>
      </c>
      <c r="K68" s="2">
        <f>+COUNTIF('2.2 P&amp;L statement'!$B$4:$B$24,'2.1 Database'!J68)</f>
        <v>1</v>
      </c>
    </row>
    <row r="69" spans="2:11" x14ac:dyDescent="0.2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7">
        <f>-SUMIF('1.1 FY2011'!$B:$B,'2.1 Database'!B69,'1.1 FY2011'!$F:$F)</f>
        <v>0</v>
      </c>
      <c r="G69" s="17">
        <f>-SUMIF('1.2 FY2012'!$B:$B,'2.1 Database'!B69,'1.2 FY2012'!$F:$F)</f>
        <v>121553.07499999998</v>
      </c>
      <c r="H69" s="17">
        <f>-SUMIF('1.3 FY2013'!$B:$B,'2.1 Database'!B69,'1.3 FY2013'!$F:$F)</f>
        <v>0</v>
      </c>
      <c r="J69" s="35" t="s">
        <v>224</v>
      </c>
      <c r="K69" s="2">
        <f>+COUNTIF('2.2 P&amp;L statement'!$B$4:$B$24,'2.1 Database'!J69)</f>
        <v>1</v>
      </c>
    </row>
    <row r="70" spans="2:11" x14ac:dyDescent="0.2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7">
        <f>-SUMIF('1.1 FY2011'!$B:$B,'2.1 Database'!B70,'1.1 FY2011'!$F:$F)</f>
        <v>0</v>
      </c>
      <c r="G70" s="17">
        <f>-SUMIF('1.2 FY2012'!$B:$B,'2.1 Database'!B70,'1.2 FY2012'!$F:$F)</f>
        <v>416278.66</v>
      </c>
      <c r="H70" s="17">
        <f>-SUMIF('1.3 FY2013'!$B:$B,'2.1 Database'!B70,'1.3 FY2013'!$F:$F)</f>
        <v>622966.38600000006</v>
      </c>
      <c r="J70" s="35" t="s">
        <v>219</v>
      </c>
      <c r="K70" s="2">
        <f>+COUNTIF('2.2 P&amp;L statement'!$B$4:$B$24,'2.1 Database'!J70)</f>
        <v>1</v>
      </c>
    </row>
    <row r="71" spans="2:11" x14ac:dyDescent="0.2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7">
        <f>-SUMIF('1.1 FY2011'!$B:$B,'2.1 Database'!B71,'1.1 FY2011'!$F:$F)</f>
        <v>0</v>
      </c>
      <c r="G71" s="17">
        <f>-SUMIF('1.2 FY2012'!$B:$B,'2.1 Database'!B71,'1.2 FY2012'!$F:$F)</f>
        <v>364243.84499999997</v>
      </c>
      <c r="H71" s="17">
        <f>-SUMIF('1.3 FY2013'!$B:$B,'2.1 Database'!B71,'1.3 FY2013'!$F:$F)</f>
        <v>0</v>
      </c>
      <c r="J71" s="35" t="s">
        <v>219</v>
      </c>
      <c r="K71" s="2">
        <f>+COUNTIF('2.2 P&amp;L statement'!$B$4:$B$24,'2.1 Database'!J71)</f>
        <v>1</v>
      </c>
    </row>
    <row r="72" spans="2:11" x14ac:dyDescent="0.2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7">
        <f>-SUMIF('1.1 FY2011'!$B:$B,'2.1 Database'!B72,'1.1 FY2011'!$F:$F)</f>
        <v>0</v>
      </c>
      <c r="G72" s="17">
        <f>-SUMIF('1.2 FY2012'!$B:$B,'2.1 Database'!B72,'1.2 FY2012'!$F:$F)</f>
        <v>0</v>
      </c>
      <c r="H72" s="17">
        <f>-SUMIF('1.3 FY2013'!$B:$B,'2.1 Database'!B72,'1.3 FY2013'!$F:$F)</f>
        <v>0</v>
      </c>
      <c r="J72" s="35" t="s">
        <v>219</v>
      </c>
      <c r="K72" s="2">
        <f>+COUNTIF('2.2 P&amp;L statement'!$B$4:$B$24,'2.1 Database'!J72)</f>
        <v>1</v>
      </c>
    </row>
    <row r="73" spans="2:11" x14ac:dyDescent="0.2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7">
        <f>-SUMIF('1.1 FY2011'!$B:$B,'2.1 Database'!B73,'1.1 FY2011'!$F:$F)</f>
        <v>0</v>
      </c>
      <c r="G73" s="17">
        <f>-SUMIF('1.2 FY2012'!$B:$B,'2.1 Database'!B73,'1.2 FY2012'!$F:$F)</f>
        <v>482611.04499999998</v>
      </c>
      <c r="H73" s="17">
        <f>-SUMIF('1.3 FY2013'!$B:$B,'2.1 Database'!B73,'1.3 FY2013'!$F:$F)</f>
        <v>1948832.1429999999</v>
      </c>
      <c r="J73" s="35" t="s">
        <v>219</v>
      </c>
      <c r="K73" s="2">
        <f>+COUNTIF('2.2 P&amp;L statement'!$B$4:$B$24,'2.1 Database'!J73)</f>
        <v>1</v>
      </c>
    </row>
    <row r="74" spans="2:11" x14ac:dyDescent="0.2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7">
        <f>-SUMIF('1.1 FY2011'!$B:$B,'2.1 Database'!B74,'1.1 FY2011'!$F:$F)</f>
        <v>0</v>
      </c>
      <c r="G74" s="17">
        <f>-SUMIF('1.2 FY2012'!$B:$B,'2.1 Database'!B74,'1.2 FY2012'!$F:$F)</f>
        <v>2436.35</v>
      </c>
      <c r="H74" s="17">
        <f>-SUMIF('1.3 FY2013'!$B:$B,'2.1 Database'!B74,'1.3 FY2013'!$F:$F)</f>
        <v>0</v>
      </c>
      <c r="J74" s="35" t="s">
        <v>74</v>
      </c>
      <c r="K74" s="2">
        <f>+COUNTIF('2.2 P&amp;L statement'!$B$4:$B$24,'2.1 Database'!J74)</f>
        <v>1</v>
      </c>
    </row>
    <row r="75" spans="2:11" x14ac:dyDescent="0.2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7">
        <f>-SUMIF('1.1 FY2011'!$B:$B,'2.1 Database'!B75,'1.1 FY2011'!$F:$F)</f>
        <v>0</v>
      </c>
      <c r="G75" s="17">
        <f>-SUMIF('1.2 FY2012'!$B:$B,'2.1 Database'!B75,'1.2 FY2012'!$F:$F)</f>
        <v>-81.339999999999989</v>
      </c>
      <c r="H75" s="17">
        <f>-SUMIF('1.3 FY2013'!$B:$B,'2.1 Database'!B75,'1.3 FY2013'!$F:$F)</f>
        <v>0</v>
      </c>
      <c r="J75" s="35" t="s">
        <v>231</v>
      </c>
      <c r="K75" s="2">
        <f>+COUNTIF('2.2 P&amp;L statement'!$B$4:$B$24,'2.1 Database'!J75)</f>
        <v>1</v>
      </c>
    </row>
    <row r="76" spans="2:11" x14ac:dyDescent="0.2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7">
        <f>-SUMIF('1.1 FY2011'!$B:$B,'2.1 Database'!B76,'1.1 FY2011'!$F:$F)</f>
        <v>0</v>
      </c>
      <c r="G76" s="17">
        <f>-SUMIF('1.2 FY2012'!$B:$B,'2.1 Database'!B76,'1.2 FY2012'!$F:$F)</f>
        <v>-276920</v>
      </c>
      <c r="H76" s="17">
        <f>-SUMIF('1.3 FY2013'!$B:$B,'2.1 Database'!B76,'1.3 FY2013'!$F:$F)</f>
        <v>-473575.46100000001</v>
      </c>
      <c r="J76" s="35" t="s">
        <v>221</v>
      </c>
      <c r="K76" s="2">
        <f>+COUNTIF('2.2 P&amp;L statement'!$B$4:$B$24,'2.1 Database'!J76)</f>
        <v>1</v>
      </c>
    </row>
    <row r="77" spans="2:11" x14ac:dyDescent="0.2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7">
        <f>-SUMIF('1.1 FY2011'!$B:$B,'2.1 Database'!B77,'1.1 FY2011'!$F:$F)</f>
        <v>0</v>
      </c>
      <c r="G77" s="17">
        <f>-SUMIF('1.2 FY2012'!$B:$B,'2.1 Database'!B77,'1.2 FY2012'!$F:$F)</f>
        <v>0</v>
      </c>
      <c r="H77" s="17">
        <f>-SUMIF('1.3 FY2013'!$B:$B,'2.1 Database'!B77,'1.3 FY2013'!$F:$F)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7">
        <f>-SUMIF('1.1 FY2011'!$B:$B,'2.1 Database'!B78,'1.1 FY2011'!$F:$F)</f>
        <v>0</v>
      </c>
      <c r="G78" s="17">
        <f>-SUMIF('1.2 FY2012'!$B:$B,'2.1 Database'!B78,'1.2 FY2012'!$F:$F)</f>
        <v>-23928.799999999999</v>
      </c>
      <c r="H78" s="17">
        <f>-SUMIF('1.3 FY2013'!$B:$B,'2.1 Database'!B78,'1.3 FY2013'!$F:$F)</f>
        <v>0</v>
      </c>
      <c r="J78" s="35" t="s">
        <v>231</v>
      </c>
      <c r="K78" s="2">
        <f>+COUNTIF('2.2 P&amp;L statement'!$B$4:$B$24,'2.1 Database'!J78)</f>
        <v>1</v>
      </c>
    </row>
    <row r="79" spans="2:11" x14ac:dyDescent="0.2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7">
        <f>-SUMIF('1.1 FY2011'!$B:$B,'2.1 Database'!B79,'1.1 FY2011'!$F:$F)</f>
        <v>0</v>
      </c>
      <c r="G79" s="17">
        <f>-SUMIF('1.2 FY2012'!$B:$B,'2.1 Database'!B79,'1.2 FY2012'!$F:$F)</f>
        <v>-308232</v>
      </c>
      <c r="H79" s="17">
        <f>-SUMIF('1.3 FY2013'!$B:$B,'2.1 Database'!B79,'1.3 FY2013'!$F:$F)</f>
        <v>0</v>
      </c>
      <c r="J79" s="35" t="s">
        <v>224</v>
      </c>
      <c r="K79" s="2">
        <f>+COUNTIF('2.2 P&amp;L statement'!$B$4:$B$24,'2.1 Database'!J79)</f>
        <v>1</v>
      </c>
    </row>
    <row r="80" spans="2:11" x14ac:dyDescent="0.2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7">
        <f>-SUMIF('1.1 FY2011'!$B:$B,'2.1 Database'!B80,'1.1 FY2011'!$F:$F)</f>
        <v>0</v>
      </c>
      <c r="G80" s="17">
        <f>-SUMIF('1.2 FY2012'!$B:$B,'2.1 Database'!B80,'1.2 FY2012'!$F:$F)</f>
        <v>-13422.779999999999</v>
      </c>
      <c r="H80" s="17">
        <f>-SUMIF('1.3 FY2013'!$B:$B,'2.1 Database'!B80,'1.3 FY2013'!$F:$F)</f>
        <v>0</v>
      </c>
      <c r="J80" s="35" t="s">
        <v>231</v>
      </c>
      <c r="K80" s="2">
        <f>+COUNTIF('2.2 P&amp;L statement'!$B$4:$B$24,'2.1 Database'!J80)</f>
        <v>1</v>
      </c>
    </row>
    <row r="81" spans="2:11" x14ac:dyDescent="0.2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7">
        <f>-SUMIF('1.1 FY2011'!$B:$B,'2.1 Database'!B81,'1.1 FY2011'!$F:$F)</f>
        <v>0</v>
      </c>
      <c r="G81" s="17">
        <f>-SUMIF('1.2 FY2012'!$B:$B,'2.1 Database'!B81,'1.2 FY2012'!$F:$F)</f>
        <v>-4045.6150000000002</v>
      </c>
      <c r="H81" s="17">
        <f>-SUMIF('1.3 FY2013'!$B:$B,'2.1 Database'!B81,'1.3 FY2013'!$F:$F)</f>
        <v>0</v>
      </c>
      <c r="J81" s="35" t="s">
        <v>231</v>
      </c>
      <c r="K81" s="2">
        <f>+COUNTIF('2.2 P&amp;L statement'!$B$4:$B$24,'2.1 Database'!J81)</f>
        <v>1</v>
      </c>
    </row>
    <row r="82" spans="2:11" x14ac:dyDescent="0.2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7">
        <f>-SUMIF('1.1 FY2011'!$B:$B,'2.1 Database'!B82,'1.1 FY2011'!$F:$F)</f>
        <v>0</v>
      </c>
      <c r="G82" s="17">
        <f>-SUMIF('1.2 FY2012'!$B:$B,'2.1 Database'!B82,'1.2 FY2012'!$F:$F)</f>
        <v>-49621.144999999997</v>
      </c>
      <c r="H82" s="17">
        <f>-SUMIF('1.3 FY2013'!$B:$B,'2.1 Database'!B82,'1.3 FY2013'!$F:$F)</f>
        <v>0</v>
      </c>
      <c r="J82" s="35" t="s">
        <v>231</v>
      </c>
      <c r="K82" s="2">
        <f>+COUNTIF('2.2 P&amp;L statement'!$B$4:$B$24,'2.1 Database'!J82)</f>
        <v>1</v>
      </c>
    </row>
    <row r="83" spans="2:11" x14ac:dyDescent="0.2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7">
        <f>-SUMIF('1.1 FY2011'!$B:$B,'2.1 Database'!B83,'1.1 FY2011'!$F:$F)</f>
        <v>0</v>
      </c>
      <c r="G83" s="17">
        <f>-SUMIF('1.2 FY2012'!$B:$B,'2.1 Database'!B83,'1.2 FY2012'!$F:$F)</f>
        <v>-85462.684999999998</v>
      </c>
      <c r="H83" s="17">
        <f>-SUMIF('1.3 FY2013'!$B:$B,'2.1 Database'!B83,'1.3 FY2013'!$F:$F)</f>
        <v>0</v>
      </c>
      <c r="J83" s="35" t="s">
        <v>224</v>
      </c>
      <c r="K83" s="2">
        <f>+COUNTIF('2.2 P&amp;L statement'!$B$4:$B$24,'2.1 Database'!J83)</f>
        <v>1</v>
      </c>
    </row>
    <row r="84" spans="2:11" x14ac:dyDescent="0.2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7">
        <f>-SUMIF('1.1 FY2011'!$B:$B,'2.1 Database'!B84,'1.1 FY2011'!$F:$F)</f>
        <v>0</v>
      </c>
      <c r="G84" s="17">
        <f>-SUMIF('1.2 FY2012'!$B:$B,'2.1 Database'!B84,'1.2 FY2012'!$F:$F)</f>
        <v>-11422.144999999999</v>
      </c>
      <c r="H84" s="17">
        <f>-SUMIF('1.3 FY2013'!$B:$B,'2.1 Database'!B84,'1.3 FY2013'!$F:$F)</f>
        <v>0</v>
      </c>
      <c r="J84" s="35" t="s">
        <v>224</v>
      </c>
      <c r="K84" s="2">
        <f>+COUNTIF('2.2 P&amp;L statement'!$B$4:$B$24,'2.1 Database'!J84)</f>
        <v>1</v>
      </c>
    </row>
    <row r="85" spans="2:11" x14ac:dyDescent="0.2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7">
        <f>-SUMIF('1.1 FY2011'!$B:$B,'2.1 Database'!B85,'1.1 FY2011'!$F:$F)</f>
        <v>0</v>
      </c>
      <c r="G85" s="17">
        <f>-SUMIF('1.2 FY2012'!$B:$B,'2.1 Database'!B85,'1.2 FY2012'!$F:$F)</f>
        <v>-84438.864999999991</v>
      </c>
      <c r="H85" s="17">
        <f>-SUMIF('1.3 FY2013'!$B:$B,'2.1 Database'!B85,'1.3 FY2013'!$F:$F)</f>
        <v>0</v>
      </c>
      <c r="J85" s="35" t="s">
        <v>224</v>
      </c>
      <c r="K85" s="2">
        <f>+COUNTIF('2.2 P&amp;L statement'!$B$4:$B$24,'2.1 Database'!J85)</f>
        <v>1</v>
      </c>
    </row>
    <row r="86" spans="2:11" x14ac:dyDescent="0.2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7">
        <f>-SUMIF('1.1 FY2011'!$B:$B,'2.1 Database'!B86,'1.1 FY2011'!$F:$F)</f>
        <v>0</v>
      </c>
      <c r="G86" s="17">
        <f>-SUMIF('1.2 FY2012'!$B:$B,'2.1 Database'!B86,'1.2 FY2012'!$F:$F)</f>
        <v>0</v>
      </c>
      <c r="H86" s="17">
        <f>-SUMIF('1.3 FY2013'!$B:$B,'2.1 Database'!B86,'1.3 FY2013'!$F:$F)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7">
        <f>-SUMIF('1.1 FY2011'!$B:$B,'2.1 Database'!B87,'1.1 FY2011'!$F:$F)</f>
        <v>0</v>
      </c>
      <c r="G87" s="17">
        <f>-SUMIF('1.2 FY2012'!$B:$B,'2.1 Database'!B87,'1.2 FY2012'!$F:$F)</f>
        <v>0</v>
      </c>
      <c r="H87" s="17">
        <f>-SUMIF('1.3 FY2013'!$B:$B,'2.1 Database'!B87,'1.3 FY2013'!$F:$F)</f>
        <v>0</v>
      </c>
      <c r="J87" s="35" t="s">
        <v>223</v>
      </c>
      <c r="K87" s="2">
        <f>+COUNTIF('2.2 P&amp;L statement'!$B$4:$B$24,'2.1 Database'!J87)</f>
        <v>1</v>
      </c>
    </row>
    <row r="88" spans="2:11" x14ac:dyDescent="0.2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7">
        <f>-SUMIF('1.1 FY2011'!$B:$B,'2.1 Database'!B88,'1.1 FY2011'!$F:$F)</f>
        <v>0</v>
      </c>
      <c r="G88" s="17">
        <f>-SUMIF('1.2 FY2012'!$B:$B,'2.1 Database'!B88,'1.2 FY2012'!$F:$F)</f>
        <v>6778.415</v>
      </c>
      <c r="H88" s="17">
        <f>-SUMIF('1.3 FY2013'!$B:$B,'2.1 Database'!B88,'1.3 FY2013'!$F:$F)</f>
        <v>0</v>
      </c>
      <c r="J88" s="35" t="s">
        <v>223</v>
      </c>
      <c r="K88" s="2">
        <f>+COUNTIF('2.2 P&amp;L statement'!$B$4:$B$24,'2.1 Database'!J88)</f>
        <v>1</v>
      </c>
    </row>
    <row r="89" spans="2:11" x14ac:dyDescent="0.2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7">
        <f>-SUMIF('1.1 FY2011'!$B:$B,'2.1 Database'!B89,'1.1 FY2011'!$F:$F)</f>
        <v>0</v>
      </c>
      <c r="G89" s="17">
        <f>-SUMIF('1.2 FY2012'!$B:$B,'2.1 Database'!B89,'1.2 FY2012'!$F:$F)</f>
        <v>0</v>
      </c>
      <c r="H89" s="17">
        <f>-SUMIF('1.3 FY2013'!$B:$B,'2.1 Database'!B89,'1.3 FY2013'!$F:$F)</f>
        <v>0</v>
      </c>
      <c r="J89" s="35" t="s">
        <v>223</v>
      </c>
      <c r="K89" s="2">
        <f>+COUNTIF('2.2 P&amp;L statement'!$B$4:$B$24,'2.1 Database'!J89)</f>
        <v>1</v>
      </c>
    </row>
    <row r="90" spans="2:11" x14ac:dyDescent="0.2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7">
        <f>-SUMIF('1.1 FY2011'!$B:$B,'2.1 Database'!B90,'1.1 FY2011'!$F:$F)</f>
        <v>0</v>
      </c>
      <c r="G90" s="17">
        <f>-SUMIF('1.2 FY2012'!$B:$B,'2.1 Database'!B90,'1.2 FY2012'!$F:$F)</f>
        <v>-1250.7950000000001</v>
      </c>
      <c r="H90" s="17">
        <f>-SUMIF('1.3 FY2013'!$B:$B,'2.1 Database'!B90,'1.3 FY2013'!$F:$F)</f>
        <v>-51.454999999999998</v>
      </c>
      <c r="J90" s="35" t="s">
        <v>223</v>
      </c>
      <c r="K90" s="2">
        <f>+COUNTIF('2.2 P&amp;L statement'!$B$4:$B$24,'2.1 Database'!J90)</f>
        <v>1</v>
      </c>
    </row>
    <row r="91" spans="2:11" x14ac:dyDescent="0.2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7">
        <f>-SUMIF('1.1 FY2011'!$B:$B,'2.1 Database'!B91,'1.1 FY2011'!$F:$F)</f>
        <v>0</v>
      </c>
      <c r="G91" s="17">
        <f>-SUMIF('1.2 FY2012'!$B:$B,'2.1 Database'!B91,'1.2 FY2012'!$F:$F)</f>
        <v>-4130000</v>
      </c>
      <c r="H91" s="17">
        <f>-SUMIF('1.3 FY2013'!$B:$B,'2.1 Database'!B91,'1.3 FY2013'!$F:$F)</f>
        <v>0</v>
      </c>
      <c r="J91" s="35" t="s">
        <v>224</v>
      </c>
      <c r="K91" s="2">
        <f>+COUNTIF('2.2 P&amp;L statement'!$B$4:$B$24,'2.1 Database'!J91)</f>
        <v>1</v>
      </c>
    </row>
    <row r="92" spans="2:11" x14ac:dyDescent="0.2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7">
        <f>-SUMIF('1.1 FY2011'!$B:$B,'2.1 Database'!B92,'1.1 FY2011'!$F:$F)</f>
        <v>0</v>
      </c>
      <c r="G92" s="17">
        <f>-SUMIF('1.2 FY2012'!$B:$B,'2.1 Database'!B92,'1.2 FY2012'!$F:$F)</f>
        <v>0</v>
      </c>
      <c r="H92" s="17">
        <f>-SUMIF('1.3 FY2013'!$B:$B,'2.1 Database'!B92,'1.3 FY2013'!$F:$F)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7">
        <f>SUMIF('1.1 FY2011'!$B:$B,'2.1 Database'!B93,'1.1 FY2011'!$F:$F)</f>
        <v>0</v>
      </c>
      <c r="G93" s="17">
        <f>SUMIF('1.2 FY2012'!$B:$B,'2.1 Database'!B93,'1.2 FY2012'!$F:$F)</f>
        <v>6073808.1600000001</v>
      </c>
      <c r="H93" s="17">
        <f>SUMIF('1.3 FY2013'!$B:$B,'2.1 Database'!B93,'1.3 FY2013'!$F:$F)</f>
        <v>-779290.47600000002</v>
      </c>
      <c r="J93" s="35" t="s">
        <v>235</v>
      </c>
      <c r="K93" s="2">
        <f>+COUNTIF('2.2 P&amp;L statement'!$B$4:$B$24,'2.1 Database'!J93)</f>
        <v>1</v>
      </c>
    </row>
    <row r="94" spans="2:11" x14ac:dyDescent="0.2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7">
        <f>-SUMIF('1.1 FY2011'!$B:$B,'2.1 Database'!B94,'1.1 FY2011'!$F:$F)</f>
        <v>0</v>
      </c>
      <c r="G94" s="17">
        <f>-SUMIF('1.2 FY2012'!$B:$B,'2.1 Database'!B94,'1.2 FY2012'!$F:$F)</f>
        <v>0</v>
      </c>
      <c r="H94" s="17">
        <f>-SUMIF('1.3 FY2013'!$B:$B,'2.1 Database'!B94,'1.3 FY2013'!$F:$F)</f>
        <v>-13691.949999999999</v>
      </c>
      <c r="J94" s="35" t="s">
        <v>231</v>
      </c>
      <c r="K94" s="2">
        <f>+COUNTIF('2.2 P&amp;L statement'!$B$4:$B$24,'2.1 Database'!J94)</f>
        <v>1</v>
      </c>
    </row>
    <row r="95" spans="2:11" x14ac:dyDescent="0.2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7">
        <f>-SUMIF('1.1 FY2011'!$B:$B,'2.1 Database'!B95,'1.1 FY2011'!$F:$F)</f>
        <v>0</v>
      </c>
      <c r="G95" s="17">
        <f>-SUMIF('1.2 FY2012'!$B:$B,'2.1 Database'!B95,'1.2 FY2012'!$F:$F)</f>
        <v>0</v>
      </c>
      <c r="H95" s="17">
        <f>-SUMIF('1.3 FY2013'!$B:$B,'2.1 Database'!B95,'1.3 FY2013'!$F:$F)</f>
        <v>-192017.14499999996</v>
      </c>
      <c r="J95" s="35" t="s">
        <v>231</v>
      </c>
      <c r="K95" s="2">
        <f>+COUNTIF('2.2 P&amp;L statement'!$B$4:$B$24,'2.1 Database'!J95)</f>
        <v>1</v>
      </c>
    </row>
    <row r="96" spans="2:11" x14ac:dyDescent="0.2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7">
        <f>-SUMIF('1.1 FY2011'!$B:$B,'2.1 Database'!B96,'1.1 FY2011'!$F:$F)</f>
        <v>0</v>
      </c>
      <c r="G96" s="17">
        <f>-SUMIF('1.2 FY2012'!$B:$B,'2.1 Database'!B96,'1.2 FY2012'!$F:$F)</f>
        <v>0</v>
      </c>
      <c r="H96" s="17">
        <f>-SUMIF('1.3 FY2013'!$B:$B,'2.1 Database'!B96,'1.3 FY2013'!$F:$F)</f>
        <v>-375290.46599999996</v>
      </c>
      <c r="J96" s="35" t="s">
        <v>231</v>
      </c>
      <c r="K96" s="2">
        <f>+COUNTIF('2.2 P&amp;L statement'!$B$4:$B$24,'2.1 Database'!J96)</f>
        <v>1</v>
      </c>
    </row>
    <row r="97" spans="2:11" x14ac:dyDescent="0.2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7">
        <f>-SUMIF('1.1 FY2011'!$B:$B,'2.1 Database'!B97,'1.1 FY2011'!$F:$F)</f>
        <v>0</v>
      </c>
      <c r="G97" s="17">
        <f>-SUMIF('1.2 FY2012'!$B:$B,'2.1 Database'!B97,'1.2 FY2012'!$F:$F)</f>
        <v>0</v>
      </c>
      <c r="H97" s="17">
        <f>-SUMIF('1.3 FY2013'!$B:$B,'2.1 Database'!B97,'1.3 FY2013'!$F:$F)</f>
        <v>-4920</v>
      </c>
      <c r="J97" s="35" t="s">
        <v>231</v>
      </c>
      <c r="K97" s="2">
        <f>+COUNTIF('2.2 P&amp;L statement'!$B$4:$B$24,'2.1 Database'!J97)</f>
        <v>1</v>
      </c>
    </row>
    <row r="98" spans="2:11" x14ac:dyDescent="0.2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7">
        <f>-SUMIF('1.1 FY2011'!$B:$B,'2.1 Database'!B98,'1.1 FY2011'!$F:$F)</f>
        <v>0</v>
      </c>
      <c r="G98" s="17">
        <f>-SUMIF('1.2 FY2012'!$B:$B,'2.1 Database'!B98,'1.2 FY2012'!$F:$F)</f>
        <v>0</v>
      </c>
      <c r="H98" s="17">
        <f>-SUMIF('1.3 FY2013'!$B:$B,'2.1 Database'!B98,'1.3 FY2013'!$F:$F)</f>
        <v>0</v>
      </c>
      <c r="J98" s="35" t="s">
        <v>231</v>
      </c>
      <c r="K98" s="2">
        <f>+COUNTIF('2.2 P&amp;L statement'!$B$4:$B$24,'2.1 Database'!J98)</f>
        <v>1</v>
      </c>
    </row>
    <row r="99" spans="2:11" x14ac:dyDescent="0.2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7">
        <f>-SUMIF('1.1 FY2011'!$B:$B,'2.1 Database'!B99,'1.1 FY2011'!$F:$F)</f>
        <v>0</v>
      </c>
      <c r="G99" s="17">
        <f>-SUMIF('1.2 FY2012'!$B:$B,'2.1 Database'!B99,'1.2 FY2012'!$F:$F)</f>
        <v>0</v>
      </c>
      <c r="H99" s="17">
        <f>-SUMIF('1.3 FY2013'!$B:$B,'2.1 Database'!B99,'1.3 FY2013'!$F:$F)</f>
        <v>1252.8369999999998</v>
      </c>
      <c r="J99" s="35" t="s">
        <v>231</v>
      </c>
      <c r="K99" s="2">
        <f>+COUNTIF('2.2 P&amp;L statement'!$B$4:$B$24,'2.1 Database'!J99)</f>
        <v>1</v>
      </c>
    </row>
    <row r="100" spans="2:11" x14ac:dyDescent="0.2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7">
        <f>-SUMIF('1.1 FY2011'!$B:$B,'2.1 Database'!B100,'1.1 FY2011'!$F:$F)</f>
        <v>0</v>
      </c>
      <c r="G100" s="17">
        <f>-SUMIF('1.2 FY2012'!$B:$B,'2.1 Database'!B100,'1.2 FY2012'!$F:$F)</f>
        <v>0</v>
      </c>
      <c r="H100" s="17">
        <f>-SUMIF('1.3 FY2013'!$B:$B,'2.1 Database'!B100,'1.3 FY2013'!$F:$F)</f>
        <v>0</v>
      </c>
      <c r="J100" s="35" t="s">
        <v>219</v>
      </c>
      <c r="K100" s="2">
        <f>+COUNTIF('2.2 P&amp;L statement'!$B$4:$B$24,'2.1 Database'!J100)</f>
        <v>1</v>
      </c>
    </row>
    <row r="101" spans="2:11" x14ac:dyDescent="0.2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7">
        <f>-SUMIF('1.1 FY2011'!$B:$B,'2.1 Database'!B101,'1.1 FY2011'!$F:$F)</f>
        <v>0</v>
      </c>
      <c r="G101" s="17">
        <f>-SUMIF('1.2 FY2012'!$B:$B,'2.1 Database'!B101,'1.2 FY2012'!$F:$F)</f>
        <v>0</v>
      </c>
      <c r="H101" s="17">
        <f>-SUMIF('1.3 FY2013'!$B:$B,'2.1 Database'!B101,'1.3 FY2013'!$F:$F)</f>
        <v>61499.999999999993</v>
      </c>
      <c r="J101" s="35" t="s">
        <v>231</v>
      </c>
      <c r="K101" s="2">
        <f>+COUNTIF('2.2 P&amp;L statement'!$B$4:$B$24,'2.1 Database'!J101)</f>
        <v>1</v>
      </c>
    </row>
    <row r="102" spans="2:11" x14ac:dyDescent="0.2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7">
        <f>-SUMIF('1.1 FY2011'!$B:$B,'2.1 Database'!B102,'1.1 FY2011'!$F:$F)</f>
        <v>0</v>
      </c>
      <c r="G102" s="17">
        <f>-SUMIF('1.2 FY2012'!$B:$B,'2.1 Database'!B102,'1.2 FY2012'!$F:$F)</f>
        <v>0</v>
      </c>
      <c r="H102" s="17">
        <f>-SUMIF('1.3 FY2013'!$B:$B,'2.1 Database'!B102,'1.3 FY2013'!$F:$F)</f>
        <v>30913.425999999996</v>
      </c>
      <c r="J102" s="35" t="s">
        <v>74</v>
      </c>
      <c r="K102" s="2">
        <f>+COUNTIF('2.2 P&amp;L statement'!$B$4:$B$24,'2.1 Database'!J102)</f>
        <v>1</v>
      </c>
    </row>
    <row r="103" spans="2:11" x14ac:dyDescent="0.2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7">
        <f>-SUMIF('1.1 FY2011'!$B:$B,'2.1 Database'!B103,'1.1 FY2011'!$F:$F)</f>
        <v>0</v>
      </c>
      <c r="G103" s="17">
        <f>-SUMIF('1.2 FY2012'!$B:$B,'2.1 Database'!B103,'1.2 FY2012'!$F:$F)</f>
        <v>0</v>
      </c>
      <c r="H103" s="17">
        <f>-SUMIF('1.3 FY2013'!$B:$B,'2.1 Database'!B103,'1.3 FY2013'!$F:$F)</f>
        <v>1423120</v>
      </c>
      <c r="J103" s="35" t="s">
        <v>220</v>
      </c>
      <c r="K103" s="2">
        <f>+COUNTIF('2.2 P&amp;L statement'!$B$4:$B$24,'2.1 Database'!J103)</f>
        <v>1</v>
      </c>
    </row>
    <row r="104" spans="2:11" x14ac:dyDescent="0.2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7">
        <f>-SUMIF('1.1 FY2011'!$B:$B,'2.1 Database'!B104,'1.1 FY2011'!$F:$F)</f>
        <v>0</v>
      </c>
      <c r="G104" s="17">
        <f>-SUMIF('1.2 FY2012'!$B:$B,'2.1 Database'!B104,'1.2 FY2012'!$F:$F)</f>
        <v>0</v>
      </c>
      <c r="H104" s="17">
        <f>-SUMIF('1.3 FY2013'!$B:$B,'2.1 Database'!B104,'1.3 FY2013'!$F:$F)</f>
        <v>-584.66</v>
      </c>
      <c r="J104" s="35" t="s">
        <v>231</v>
      </c>
      <c r="K104" s="2">
        <f>+COUNTIF('2.2 P&amp;L statement'!$B$4:$B$24,'2.1 Database'!J104)</f>
        <v>1</v>
      </c>
    </row>
    <row r="105" spans="2:11" x14ac:dyDescent="0.2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7">
        <f>-SUMIF('1.1 FY2011'!$B:$B,'2.1 Database'!B105,'1.1 FY2011'!$F:$F)</f>
        <v>0</v>
      </c>
      <c r="G105" s="17">
        <f>-SUMIF('1.2 FY2012'!$B:$B,'2.1 Database'!B105,'1.2 FY2012'!$F:$F)</f>
        <v>0</v>
      </c>
      <c r="H105" s="17">
        <f>-SUMIF('1.3 FY2013'!$B:$B,'2.1 Database'!B105,'1.3 FY2013'!$F:$F)</f>
        <v>-1352.9999999999998</v>
      </c>
      <c r="J105" s="35" t="s">
        <v>231</v>
      </c>
      <c r="K105" s="2">
        <f>+COUNTIF('2.2 P&amp;L statement'!$B$4:$B$24,'2.1 Database'!J105)</f>
        <v>1</v>
      </c>
    </row>
    <row r="106" spans="2:11" x14ac:dyDescent="0.2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7">
        <f>-SUMIF('1.1 FY2011'!$B:$B,'2.1 Database'!B106,'1.1 FY2011'!$F:$F)</f>
        <v>0</v>
      </c>
      <c r="G106" s="17">
        <f>-SUMIF('1.2 FY2012'!$B:$B,'2.1 Database'!B106,'1.2 FY2012'!$F:$F)</f>
        <v>0</v>
      </c>
      <c r="H106" s="17">
        <f>-SUMIF('1.3 FY2013'!$B:$B,'2.1 Database'!B106,'1.3 FY2013'!$F:$F)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7">
        <f>-SUMIF('1.1 FY2011'!$B:$B,'2.1 Database'!B107,'1.1 FY2011'!$F:$F)</f>
        <v>0</v>
      </c>
      <c r="G107" s="17">
        <f>-SUMIF('1.2 FY2012'!$B:$B,'2.1 Database'!B107,'1.2 FY2012'!$F:$F)</f>
        <v>0</v>
      </c>
      <c r="H107" s="17">
        <f>-SUMIF('1.3 FY2013'!$B:$B,'2.1 Database'!B107,'1.3 FY2013'!$F:$F)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101</v>
      </c>
      <c r="K108" s="2" t="s">
        <v>101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workbookViewId="0">
      <selection activeCell="T10" sqref="T10"/>
    </sheetView>
  </sheetViews>
  <sheetFormatPr defaultRowHeight="12" customHeight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95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236</v>
      </c>
      <c r="C3" s="16" t="s">
        <v>207</v>
      </c>
      <c r="D3" s="34" t="s">
        <v>208</v>
      </c>
      <c r="E3" s="34" t="s">
        <v>209</v>
      </c>
      <c r="G3" s="44" t="s">
        <v>238</v>
      </c>
      <c r="H3" s="44" t="s">
        <v>239</v>
      </c>
      <c r="J3" s="43"/>
    </row>
    <row r="4" spans="1:10" s="17" customFormat="1" ht="12" customHeight="1" x14ac:dyDescent="0.2">
      <c r="A4" s="2"/>
      <c r="B4" s="29" t="s">
        <v>217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</row>
    <row r="5" spans="1:10" s="17" customFormat="1" ht="12" customHeight="1" x14ac:dyDescent="0.2">
      <c r="A5" s="2"/>
      <c r="B5" s="29" t="s">
        <v>66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219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229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228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230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231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218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220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221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222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74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67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232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72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233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223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224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234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225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235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240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241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242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x14ac:dyDescent="0.2">
      <c r="B32" s="19" t="s">
        <v>237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2021-02-01T20:15:45Z</dcterms:modified>
</cp:coreProperties>
</file>